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ntel\Downloads\"/>
    </mc:Choice>
  </mc:AlternateContent>
  <xr:revisionPtr revIDLastSave="0" documentId="13_ncr:1_{43285123-612D-42D7-8D21-03D1F0F87CBA}" xr6:coauthVersionLast="47" xr6:coauthVersionMax="47" xr10:uidLastSave="{00000000-0000-0000-0000-000000000000}"/>
  <bookViews>
    <workbookView xWindow="-108" yWindow="-108" windowWidth="23256" windowHeight="12456" activeTab="4" xr2:uid="{346724B3-1C49-40AE-AA36-C77CF5D6DD09}"/>
  </bookViews>
  <sheets>
    <sheet name="Sheet1" sheetId="5" r:id="rId1"/>
    <sheet name="Sheet2" sheetId="6" r:id="rId2"/>
    <sheet name="Sheet3" sheetId="7" r:id="rId3"/>
    <sheet name="Data" sheetId="1" r:id="rId4"/>
    <sheet name="Dashboard" sheetId="3" r:id="rId5"/>
  </sheets>
  <definedNames>
    <definedName name="_xlchart.v5.0" hidden="1">Sheet1!$G$62:$H$62</definedName>
    <definedName name="_xlchart.v5.1" hidden="1">Sheet1!$G$63:$H$120</definedName>
    <definedName name="_xlchart.v5.10" hidden="1">Sheet1!$G$62:$H$62</definedName>
    <definedName name="_xlchart.v5.11" hidden="1">Sheet1!$G$63:$H$120</definedName>
    <definedName name="_xlchart.v5.12" hidden="1">Sheet1!$I$62</definedName>
    <definedName name="_xlchart.v5.13" hidden="1">Sheet1!$I$63:$I$120</definedName>
    <definedName name="_xlchart.v5.14" hidden="1">Sheet1!$G$62:$H$62</definedName>
    <definedName name="_xlchart.v5.15" hidden="1">Sheet1!$G$63:$H$120</definedName>
    <definedName name="_xlchart.v5.16" hidden="1">Sheet1!$I$62</definedName>
    <definedName name="_xlchart.v5.17" hidden="1">Sheet1!$I$63:$I$120</definedName>
    <definedName name="_xlchart.v5.2" hidden="1">Sheet1!$I$61</definedName>
    <definedName name="_xlchart.v5.3" hidden="1">Sheet1!$I$62</definedName>
    <definedName name="_xlchart.v5.4" hidden="1">Sheet1!$I$63:$I$120</definedName>
    <definedName name="_xlchart.v5.5" hidden="1">Sheet1!$L$62:$M$62</definedName>
    <definedName name="_xlchart.v5.6" hidden="1">Sheet1!$L$63:$M$120</definedName>
    <definedName name="_xlchart.v5.7" hidden="1">Sheet1!$N$61</definedName>
    <definedName name="_xlchart.v5.8" hidden="1">Sheet1!$N$62</definedName>
    <definedName name="_xlchart.v5.9" hidden="1">Sheet1!$N$63:$N$120</definedName>
    <definedName name="Slicer_Gender_Value">#N/A</definedName>
    <definedName name="Slicer_Order_Mode">#N/A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6" l="1"/>
  <c r="K5" i="6"/>
  <c r="L5" i="6"/>
  <c r="M5" i="6"/>
  <c r="K4" i="6"/>
  <c r="L4" i="6"/>
  <c r="M4" i="6"/>
  <c r="M6" i="6"/>
  <c r="M7" i="6"/>
  <c r="M8" i="6"/>
  <c r="M9" i="6"/>
  <c r="J6" i="6"/>
  <c r="K6" i="6"/>
  <c r="L6" i="6"/>
  <c r="J7" i="6"/>
  <c r="K7" i="6"/>
  <c r="L7" i="6"/>
  <c r="J8" i="6"/>
  <c r="K8" i="6"/>
  <c r="L8" i="6"/>
  <c r="J9" i="6"/>
  <c r="K9" i="6"/>
  <c r="L9" i="6"/>
  <c r="I6" i="6"/>
  <c r="I7" i="6"/>
  <c r="I8" i="6"/>
  <c r="I9" i="6"/>
  <c r="I5" i="6"/>
  <c r="K4" i="5"/>
  <c r="J4" i="5"/>
  <c r="I4" i="5"/>
  <c r="H4" i="5"/>
  <c r="G4"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c r="O2390" i="1" a="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a="1"/>
  <c r="O2375" i="1" s="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c r="O2329" i="1" a="1"/>
  <c r="N2329" i="1"/>
  <c r="M2329" i="1"/>
  <c r="O2328" i="1" a="1"/>
  <c r="O2328" i="1" s="1"/>
  <c r="N2328" i="1"/>
  <c r="M2328" i="1"/>
  <c r="O2327" i="1" a="1"/>
  <c r="O2327" i="1" s="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a="1"/>
  <c r="O2297" i="1" s="1"/>
  <c r="N2297" i="1"/>
  <c r="M2297" i="1"/>
  <c r="O2296" i="1" a="1"/>
  <c r="O2296" i="1" s="1"/>
  <c r="N2296" i="1"/>
  <c r="M2296" i="1"/>
  <c r="O2295" i="1"/>
  <c r="O2295" i="1" a="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c r="O2269" i="1" a="1"/>
  <c r="N2269" i="1"/>
  <c r="M2269" i="1"/>
  <c r="O2268" i="1" a="1"/>
  <c r="O2268" i="1" s="1"/>
  <c r="N2268" i="1"/>
  <c r="M2268" i="1"/>
  <c r="O2267" i="1" a="1"/>
  <c r="O2267" i="1" s="1"/>
  <c r="N2267" i="1"/>
  <c r="M2267" i="1"/>
  <c r="O2266" i="1" a="1"/>
  <c r="O2266" i="1" s="1"/>
  <c r="N2266" i="1"/>
  <c r="M2266" i="1"/>
  <c r="O2265" i="1"/>
  <c r="O2265" i="1" a="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c r="O2250" i="1" a="1"/>
  <c r="N2250" i="1"/>
  <c r="M2250" i="1"/>
  <c r="O2249" i="1" a="1"/>
  <c r="O2249" i="1" s="1"/>
  <c r="N2249" i="1"/>
  <c r="M2249" i="1"/>
  <c r="O2248" i="1" a="1"/>
  <c r="O2248" i="1" s="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c r="O2237" i="1" a="1"/>
  <c r="N2237" i="1"/>
  <c r="M2237" i="1"/>
  <c r="O2236" i="1" a="1"/>
  <c r="O2236" i="1" s="1"/>
  <c r="N2236" i="1"/>
  <c r="M2236" i="1"/>
  <c r="O2235" i="1" a="1"/>
  <c r="O2235" i="1" s="1"/>
  <c r="N2235" i="1"/>
  <c r="M2235" i="1"/>
  <c r="O2234" i="1"/>
  <c r="O2234" i="1" a="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a="1"/>
  <c r="O2218" i="1" s="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c r="O2197" i="1" a="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c r="O2189" i="1" a="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c r="O2176" i="1" a="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c r="O2154" i="1" a="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c r="O2138" i="1" a="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c r="O2120" i="1" a="1"/>
  <c r="N2120" i="1"/>
  <c r="M2120" i="1"/>
  <c r="O2119" i="1" a="1"/>
  <c r="O2119" i="1" s="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c r="O2101" i="1" a="1"/>
  <c r="N2101" i="1"/>
  <c r="M2101" i="1"/>
  <c r="O2100" i="1" a="1"/>
  <c r="O2100" i="1" s="1"/>
  <c r="N2100" i="1"/>
  <c r="M2100" i="1"/>
  <c r="O2099" i="1" a="1"/>
  <c r="O2099" i="1" s="1"/>
  <c r="N2099" i="1"/>
  <c r="M2099" i="1"/>
  <c r="O2098" i="1"/>
  <c r="O2098" i="1" a="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c r="O2092" i="1" a="1"/>
  <c r="N2092" i="1"/>
  <c r="M2092" i="1"/>
  <c r="O2091" i="1" a="1"/>
  <c r="O2091" i="1" s="1"/>
  <c r="N2091" i="1"/>
  <c r="M2091" i="1"/>
  <c r="O2090" i="1"/>
  <c r="O2090" i="1" a="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c r="O2083" i="1" a="1"/>
  <c r="N2083" i="1"/>
  <c r="M2083" i="1"/>
  <c r="O2082" i="1" a="1"/>
  <c r="O2082" i="1" s="1"/>
  <c r="N2082" i="1"/>
  <c r="M2082" i="1"/>
  <c r="O2081" i="1"/>
  <c r="O2081" i="1" a="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a="1"/>
  <c r="O2070" i="1" s="1"/>
  <c r="N2070" i="1"/>
  <c r="M2070" i="1"/>
  <c r="O2069" i="1"/>
  <c r="O2069" i="1" a="1"/>
  <c r="N2069" i="1"/>
  <c r="M2069" i="1"/>
  <c r="O2068" i="1" a="1"/>
  <c r="O2068" i="1" s="1"/>
  <c r="N2068" i="1"/>
  <c r="M2068" i="1"/>
  <c r="O2067" i="1"/>
  <c r="O2067" i="1" a="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a="1"/>
  <c r="O2042" i="1" s="1"/>
  <c r="N2042" i="1"/>
  <c r="M2042" i="1"/>
  <c r="O2041" i="1"/>
  <c r="O2041" i="1" a="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c r="O2029" i="1" a="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c r="O2017" i="1" a="1"/>
  <c r="N2017" i="1"/>
  <c r="M2017" i="1"/>
  <c r="O2016" i="1" a="1"/>
  <c r="O2016" i="1" s="1"/>
  <c r="N2016" i="1"/>
  <c r="M2016" i="1"/>
  <c r="O2015" i="1" a="1"/>
  <c r="O2015" i="1" s="1"/>
  <c r="N2015" i="1"/>
  <c r="M2015" i="1"/>
  <c r="O2014" i="1"/>
  <c r="O2014" i="1" a="1"/>
  <c r="N2014" i="1"/>
  <c r="M2014" i="1"/>
  <c r="O2013" i="1" a="1"/>
  <c r="O2013" i="1" s="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a="1"/>
  <c r="O2000" i="1" s="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a="1"/>
  <c r="O1986" i="1" s="1"/>
  <c r="N1986" i="1"/>
  <c r="M1986" i="1"/>
  <c r="O1985" i="1"/>
  <c r="O1985" i="1" a="1"/>
  <c r="N1985" i="1"/>
  <c r="M1985" i="1"/>
  <c r="O1984" i="1" a="1"/>
  <c r="O1984" i="1" s="1"/>
  <c r="N1984" i="1"/>
  <c r="M1984" i="1"/>
  <c r="O1983" i="1" a="1"/>
  <c r="O1983" i="1" s="1"/>
  <c r="N1983" i="1"/>
  <c r="M1983" i="1"/>
  <c r="O1982" i="1"/>
  <c r="O1982" i="1" a="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a="1"/>
  <c r="O1972" i="1" s="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c r="O1963" i="1" a="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c r="O1956" i="1" a="1"/>
  <c r="N1956" i="1"/>
  <c r="M1956" i="1"/>
  <c r="O1955" i="1" a="1"/>
  <c r="O1955" i="1" s="1"/>
  <c r="N1955" i="1"/>
  <c r="M1955" i="1"/>
  <c r="O1954" i="1" a="1"/>
  <c r="O1954" i="1" s="1"/>
  <c r="N1954" i="1"/>
  <c r="M1954" i="1"/>
  <c r="O1953" i="1" a="1"/>
  <c r="O1953" i="1" s="1"/>
  <c r="N1953" i="1"/>
  <c r="M1953" i="1"/>
  <c r="O1952" i="1"/>
  <c r="O1952" i="1" a="1"/>
  <c r="N1952" i="1"/>
  <c r="M1952" i="1"/>
  <c r="O1951" i="1" a="1"/>
  <c r="O1951" i="1" s="1"/>
  <c r="N1951" i="1"/>
  <c r="M1951" i="1"/>
  <c r="O1950" i="1" a="1"/>
  <c r="O1950" i="1" s="1"/>
  <c r="N1950" i="1"/>
  <c r="M1950" i="1"/>
  <c r="O1949" i="1" a="1"/>
  <c r="O1949" i="1" s="1"/>
  <c r="N1949" i="1"/>
  <c r="M1949" i="1"/>
  <c r="O1948" i="1" a="1"/>
  <c r="O1948" i="1" s="1"/>
  <c r="N1948" i="1"/>
  <c r="M1948" i="1"/>
  <c r="O1947" i="1"/>
  <c r="O1947" i="1" a="1"/>
  <c r="N1947" i="1"/>
  <c r="M1947" i="1"/>
  <c r="O1946" i="1" a="1"/>
  <c r="O1946" i="1" s="1"/>
  <c r="N1946" i="1"/>
  <c r="M1946" i="1"/>
  <c r="O1945" i="1" a="1"/>
  <c r="O1945" i="1" s="1"/>
  <c r="N1945" i="1"/>
  <c r="M1945" i="1"/>
  <c r="O1944" i="1"/>
  <c r="O1944" i="1" a="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a="1"/>
  <c r="O1930" i="1" s="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a="1"/>
  <c r="O1903" i="1" s="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a="1"/>
  <c r="O1885" i="1" s="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a="1"/>
  <c r="O1835" i="1" s="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a="1"/>
  <c r="O1817" i="1" s="1"/>
  <c r="N1817" i="1"/>
  <c r="M1817" i="1"/>
  <c r="O1816" i="1"/>
  <c r="O1816" i="1" a="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c r="O1804" i="1" a="1"/>
  <c r="N1804" i="1"/>
  <c r="M1804" i="1"/>
  <c r="O1803" i="1" a="1"/>
  <c r="O1803" i="1" s="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a="1"/>
  <c r="O1797" i="1" s="1"/>
  <c r="N1797" i="1"/>
  <c r="M1797" i="1"/>
  <c r="O1796" i="1"/>
  <c r="O1796" i="1" a="1"/>
  <c r="N1796" i="1"/>
  <c r="M1796" i="1"/>
  <c r="O1795" i="1" a="1"/>
  <c r="O1795" i="1" s="1"/>
  <c r="N1795" i="1"/>
  <c r="M1795" i="1"/>
  <c r="O1794" i="1" a="1"/>
  <c r="O1794" i="1" s="1"/>
  <c r="N1794" i="1"/>
  <c r="M1794" i="1"/>
  <c r="O1793" i="1"/>
  <c r="O1793" i="1" a="1"/>
  <c r="N1793" i="1"/>
  <c r="M1793" i="1"/>
  <c r="O1792" i="1" a="1"/>
  <c r="O1792" i="1" s="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c r="O1768" i="1" a="1"/>
  <c r="N1768" i="1"/>
  <c r="M1768" i="1"/>
  <c r="O1767" i="1" a="1"/>
  <c r="O1767" i="1" s="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c r="O1755" i="1" a="1"/>
  <c r="N1755" i="1"/>
  <c r="M1755" i="1"/>
  <c r="O1754" i="1" a="1"/>
  <c r="O1754" i="1" s="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a="1"/>
  <c r="O1747" i="1" s="1"/>
  <c r="N1747" i="1"/>
  <c r="M1747" i="1"/>
  <c r="O1746" i="1"/>
  <c r="O1746" i="1" a="1"/>
  <c r="N1746" i="1"/>
  <c r="M1746" i="1"/>
  <c r="O1745" i="1" a="1"/>
  <c r="O1745" i="1" s="1"/>
  <c r="N1745" i="1"/>
  <c r="M1745" i="1"/>
  <c r="O1744" i="1"/>
  <c r="O1744" i="1" a="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a="1"/>
  <c r="O1726" i="1" s="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a="1"/>
  <c r="O1718" i="1" s="1"/>
  <c r="N1718" i="1"/>
  <c r="M1718" i="1"/>
  <c r="O1717" i="1"/>
  <c r="O1717" i="1" a="1"/>
  <c r="N1717" i="1"/>
  <c r="M1717" i="1"/>
  <c r="O1716" i="1" a="1"/>
  <c r="O1716" i="1" s="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c r="O1694" i="1" a="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c r="O1685" i="1" a="1"/>
  <c r="N1685" i="1"/>
  <c r="M1685" i="1"/>
  <c r="O1684" i="1" a="1"/>
  <c r="O1684" i="1" s="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a="1"/>
  <c r="O1638" i="1" s="1"/>
  <c r="N1638" i="1"/>
  <c r="M1638" i="1"/>
  <c r="O1637" i="1" a="1"/>
  <c r="O1637" i="1" s="1"/>
  <c r="N1637" i="1"/>
  <c r="M1637" i="1"/>
  <c r="O1636" i="1"/>
  <c r="O1636" i="1" a="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c r="O1628" i="1" a="1"/>
  <c r="N1628" i="1"/>
  <c r="M1628" i="1"/>
  <c r="O1627" i="1" a="1"/>
  <c r="O1627" i="1" s="1"/>
  <c r="N1627" i="1"/>
  <c r="M1627" i="1"/>
  <c r="O1626" i="1"/>
  <c r="O1626" i="1" a="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c r="O1613" i="1" a="1"/>
  <c r="N1613" i="1"/>
  <c r="M1613" i="1"/>
  <c r="O1612" i="1" a="1"/>
  <c r="O1612" i="1" s="1"/>
  <c r="N1612" i="1"/>
  <c r="M1612" i="1"/>
  <c r="O1611" i="1" a="1"/>
  <c r="O1611" i="1" s="1"/>
  <c r="N1611" i="1"/>
  <c r="M1611" i="1"/>
  <c r="O1610" i="1" a="1"/>
  <c r="O1610" i="1" s="1"/>
  <c r="N1610" i="1"/>
  <c r="M1610" i="1"/>
  <c r="O1609" i="1" a="1"/>
  <c r="O1609" i="1" s="1"/>
  <c r="N1609" i="1"/>
  <c r="M1609" i="1"/>
  <c r="O1608" i="1"/>
  <c r="O1608" i="1" a="1"/>
  <c r="N1608" i="1"/>
  <c r="M1608" i="1"/>
  <c r="O1607" i="1" a="1"/>
  <c r="O1607" i="1" s="1"/>
  <c r="N1607" i="1"/>
  <c r="M1607" i="1"/>
  <c r="O1606" i="1" a="1"/>
  <c r="O1606" i="1" s="1"/>
  <c r="N1606" i="1"/>
  <c r="M1606" i="1"/>
  <c r="O1605" i="1" a="1"/>
  <c r="O1605" i="1" s="1"/>
  <c r="N1605" i="1"/>
  <c r="M1605" i="1"/>
  <c r="O1604" i="1"/>
  <c r="O1604" i="1" a="1"/>
  <c r="N1604" i="1"/>
  <c r="M1604" i="1"/>
  <c r="O1603" i="1" a="1"/>
  <c r="O1603" i="1" s="1"/>
  <c r="N1603" i="1"/>
  <c r="M1603" i="1"/>
  <c r="O1602" i="1" a="1"/>
  <c r="O1602" i="1" s="1"/>
  <c r="N1602" i="1"/>
  <c r="M1602" i="1"/>
  <c r="O1601" i="1" a="1"/>
  <c r="O1601" i="1" s="1"/>
  <c r="N1601" i="1"/>
  <c r="M1601" i="1"/>
  <c r="O1600" i="1" a="1"/>
  <c r="O1600" i="1" s="1"/>
  <c r="N1600" i="1"/>
  <c r="M1600" i="1"/>
  <c r="O1599" i="1"/>
  <c r="O1599" i="1" a="1"/>
  <c r="N1599" i="1"/>
  <c r="M1599" i="1"/>
  <c r="O1598" i="1" a="1"/>
  <c r="O1598" i="1" s="1"/>
  <c r="N1598" i="1"/>
  <c r="M1598" i="1"/>
  <c r="O1597" i="1"/>
  <c r="O1597" i="1" a="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a="1"/>
  <c r="O1578" i="1" s="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c r="O1530" i="1" a="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c r="O1524" i="1" a="1"/>
  <c r="N1524" i="1"/>
  <c r="M1524" i="1"/>
  <c r="O1523" i="1" a="1"/>
  <c r="O1523" i="1" s="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a="1"/>
  <c r="O1500" i="1" s="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a="1"/>
  <c r="O1440" i="1" s="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a="1"/>
  <c r="O1432" i="1" s="1"/>
  <c r="N1432" i="1"/>
  <c r="M1432" i="1"/>
  <c r="O1431" i="1"/>
  <c r="O1431" i="1" a="1"/>
  <c r="N1431" i="1"/>
  <c r="M1431" i="1"/>
  <c r="O1430" i="1" a="1"/>
  <c r="O1430" i="1" s="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a="1"/>
  <c r="O1412" i="1" s="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c r="O1393" i="1" a="1"/>
  <c r="N1393" i="1"/>
  <c r="M1393" i="1"/>
  <c r="O1392" i="1" a="1"/>
  <c r="O1392" i="1" s="1"/>
  <c r="N1392" i="1"/>
  <c r="M1392" i="1"/>
  <c r="O1391" i="1" a="1"/>
  <c r="O1391" i="1" s="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a="1"/>
  <c r="O1384" i="1" s="1"/>
  <c r="N1384" i="1"/>
  <c r="M1384" i="1"/>
  <c r="O1383" i="1" a="1"/>
  <c r="O1383" i="1" s="1"/>
  <c r="N1383" i="1"/>
  <c r="M1383" i="1"/>
  <c r="O1382" i="1"/>
  <c r="O1382" i="1" a="1"/>
  <c r="N1382" i="1"/>
  <c r="M1382" i="1"/>
  <c r="O1381" i="1" a="1"/>
  <c r="O1381" i="1" s="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c r="O1363" i="1" a="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c r="O1356" i="1" a="1"/>
  <c r="N1356" i="1"/>
  <c r="M1356" i="1"/>
  <c r="O1355" i="1" a="1"/>
  <c r="O1355" i="1" s="1"/>
  <c r="N1355" i="1"/>
  <c r="M1355" i="1"/>
  <c r="O1354" i="1" a="1"/>
  <c r="O1354" i="1" s="1"/>
  <c r="N1354" i="1"/>
  <c r="M1354" i="1"/>
  <c r="O1353" i="1"/>
  <c r="O1353" i="1" a="1"/>
  <c r="N1353" i="1"/>
  <c r="M1353" i="1"/>
  <c r="O1352" i="1" a="1"/>
  <c r="O1352" i="1" s="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a="1"/>
  <c r="O1266" i="1" s="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c r="O1253" i="1" a="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c r="O1217" i="1" a="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c r="O1197" i="1" a="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c r="O1168" i="1" a="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a="1"/>
  <c r="O1155" i="1" s="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c r="O1092" i="1" a="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a="1"/>
  <c r="O979" i="1" s="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a="1"/>
  <c r="O907" i="1" s="1"/>
  <c r="N907" i="1"/>
  <c r="M907" i="1"/>
  <c r="O906" i="1" a="1"/>
  <c r="O906" i="1" s="1"/>
  <c r="N906" i="1"/>
  <c r="M906" i="1"/>
  <c r="O905" i="1" a="1"/>
  <c r="O905" i="1" s="1"/>
  <c r="N905" i="1"/>
  <c r="M905" i="1"/>
  <c r="O904" i="1"/>
  <c r="O904" i="1" a="1"/>
  <c r="N904" i="1"/>
  <c r="M904" i="1"/>
  <c r="O903" i="1" a="1"/>
  <c r="O903" i="1" s="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c r="O895" i="1" a="1"/>
  <c r="N895" i="1"/>
  <c r="M895" i="1"/>
  <c r="O894" i="1" a="1"/>
  <c r="O894" i="1" s="1"/>
  <c r="N894" i="1"/>
  <c r="M894" i="1"/>
  <c r="O893" i="1" a="1"/>
  <c r="O893" i="1" s="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c r="O865" i="1" a="1"/>
  <c r="N865" i="1"/>
  <c r="M865" i="1"/>
  <c r="O864" i="1" a="1"/>
  <c r="O864" i="1" s="1"/>
  <c r="N864" i="1"/>
  <c r="M864" i="1"/>
  <c r="O863" i="1" a="1"/>
  <c r="O863" i="1" s="1"/>
  <c r="N863" i="1"/>
  <c r="M863" i="1"/>
  <c r="O862" i="1"/>
  <c r="O862" i="1" a="1"/>
  <c r="N862" i="1"/>
  <c r="M862" i="1"/>
  <c r="O861" i="1" a="1"/>
  <c r="O861" i="1" s="1"/>
  <c r="N861" i="1"/>
  <c r="M861" i="1"/>
  <c r="O860" i="1"/>
  <c r="O860" i="1" a="1"/>
  <c r="N860" i="1"/>
  <c r="M860" i="1"/>
  <c r="O859" i="1" a="1"/>
  <c r="O859" i="1" s="1"/>
  <c r="N859" i="1"/>
  <c r="M859" i="1"/>
  <c r="O858" i="1" a="1"/>
  <c r="O858" i="1" s="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c r="O833" i="1" a="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c r="O823" i="1" a="1"/>
  <c r="N823" i="1"/>
  <c r="M823" i="1"/>
  <c r="O822" i="1" a="1"/>
  <c r="O822" i="1" s="1"/>
  <c r="N822" i="1"/>
  <c r="M822" i="1"/>
  <c r="O821" i="1"/>
  <c r="O821" i="1" a="1"/>
  <c r="N821" i="1"/>
  <c r="M821" i="1"/>
  <c r="O820" i="1" a="1"/>
  <c r="O820" i="1" s="1"/>
  <c r="N820" i="1"/>
  <c r="M820" i="1"/>
  <c r="O819" i="1" a="1"/>
  <c r="O819" i="1" s="1"/>
  <c r="N819" i="1"/>
  <c r="M819" i="1"/>
  <c r="O818" i="1"/>
  <c r="O818" i="1" a="1"/>
  <c r="N818" i="1"/>
  <c r="M818" i="1"/>
  <c r="O817" i="1" a="1"/>
  <c r="O817" i="1" s="1"/>
  <c r="N817" i="1"/>
  <c r="M817" i="1"/>
  <c r="O816" i="1" a="1"/>
  <c r="O816" i="1" s="1"/>
  <c r="N816" i="1"/>
  <c r="M816" i="1"/>
  <c r="O815" i="1" a="1"/>
  <c r="O815" i="1" s="1"/>
  <c r="N815" i="1"/>
  <c r="M815" i="1"/>
  <c r="O814" i="1"/>
  <c r="O814" i="1" a="1"/>
  <c r="N814" i="1"/>
  <c r="M814" i="1"/>
  <c r="O813" i="1"/>
  <c r="O813" i="1" a="1"/>
  <c r="N813" i="1"/>
  <c r="M813" i="1"/>
  <c r="O812" i="1" a="1"/>
  <c r="O812" i="1" s="1"/>
  <c r="N812" i="1"/>
  <c r="M812" i="1"/>
  <c r="O811" i="1" a="1"/>
  <c r="O811" i="1" s="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c r="O794" i="1" a="1"/>
  <c r="N794" i="1"/>
  <c r="M794" i="1"/>
  <c r="O793" i="1" a="1"/>
  <c r="O793" i="1" s="1"/>
  <c r="N793" i="1"/>
  <c r="M793" i="1"/>
  <c r="O792" i="1" a="1"/>
  <c r="O792" i="1" s="1"/>
  <c r="N792" i="1"/>
  <c r="M792" i="1"/>
  <c r="O791" i="1" a="1"/>
  <c r="O791" i="1" s="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c r="O755" i="1" a="1"/>
  <c r="N755" i="1"/>
  <c r="M755" i="1"/>
  <c r="O754" i="1" a="1"/>
  <c r="O754" i="1" s="1"/>
  <c r="N754" i="1"/>
  <c r="M754" i="1"/>
  <c r="O753" i="1"/>
  <c r="O753" i="1" a="1"/>
  <c r="N753" i="1"/>
  <c r="M753" i="1"/>
  <c r="O752" i="1" a="1"/>
  <c r="O752" i="1" s="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c r="O693" i="1" a="1"/>
  <c r="N693" i="1"/>
  <c r="M693" i="1"/>
  <c r="O692" i="1"/>
  <c r="O692" i="1" a="1"/>
  <c r="N692" i="1"/>
  <c r="M692" i="1"/>
  <c r="O691" i="1" a="1"/>
  <c r="O691" i="1" s="1"/>
  <c r="N691" i="1"/>
  <c r="M691" i="1"/>
  <c r="O690" i="1" a="1"/>
  <c r="O690" i="1" s="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a="1"/>
  <c r="O655" i="1" s="1"/>
  <c r="N655" i="1"/>
  <c r="M655" i="1"/>
  <c r="O654" i="1" a="1"/>
  <c r="O654" i="1" s="1"/>
  <c r="N654" i="1"/>
  <c r="M654" i="1"/>
  <c r="O653" i="1"/>
  <c r="O653" i="1" a="1"/>
  <c r="N653" i="1"/>
  <c r="M653" i="1"/>
  <c r="O652" i="1"/>
  <c r="O652" i="1" a="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c r="O599" i="1" a="1"/>
  <c r="N599" i="1"/>
  <c r="M599" i="1"/>
  <c r="O598" i="1"/>
  <c r="O598" i="1" a="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c r="O573" i="1" a="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a="1"/>
  <c r="O540" i="1" s="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c r="O497" i="1" a="1"/>
  <c r="N497" i="1"/>
  <c r="M497" i="1"/>
  <c r="O496" i="1"/>
  <c r="O496" i="1" a="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a="1"/>
  <c r="O431" i="1" s="1"/>
  <c r="N431" i="1"/>
  <c r="M431" i="1"/>
  <c r="O430" i="1" a="1"/>
  <c r="O430" i="1" s="1"/>
  <c r="N430" i="1"/>
  <c r="M430" i="1"/>
  <c r="O429" i="1" a="1"/>
  <c r="O429" i="1" s="1"/>
  <c r="N429" i="1"/>
  <c r="M429" i="1"/>
  <c r="O428" i="1"/>
  <c r="O428" i="1" a="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c r="O403" i="1" a="1"/>
  <c r="N403" i="1"/>
  <c r="M403" i="1"/>
  <c r="O402" i="1"/>
  <c r="O402" i="1" a="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c r="O347" i="1" a="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c r="O94" i="1" a="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c r="O59" i="1" a="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c r="O23" i="1" a="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c r="O8" i="1" a="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<sst xmlns="http://schemas.openxmlformats.org/spreadsheetml/2006/main" count="14747" uniqueCount="2526">
  <si>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</si>
  <si>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</si>
  <si>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</si>
  <si>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</si>
  <si>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</si>
  <si>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</si>
  <si>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</si>
  <si>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</si>
  <si>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</si>
  <si>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</si>
  <si>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</si>
  <si>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</si>
  <si>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</si>
  <si>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</si>
  <si>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</si>
  <si>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</si>
  <si>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</si>
  <si>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</si>
  <si>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</si>
  <si>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</si>
  <si>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</si>
  <si>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</si>
  <si>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</si>
  <si>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</si>
  <si>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</si>
  <si>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</si>
  <si>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</si>
  <si>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</si>
  <si>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</si>
  <si>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</si>
  <si>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</si>
  <si>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</si>
  <si>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</si>
  <si>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</si>
  <si>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</si>
  <si>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</si>
  <si>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</si>
  <si>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</si>
  <si>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</si>
  <si>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</si>
  <si>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</si>
  <si>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</si>
  <si>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</si>
  <si>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</si>
  <si>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</si>
  <si>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</si>
  <si>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</si>
  <si>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</si>
  <si>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</si>
  <si>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</si>
  <si>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</si>
  <si>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</si>
  <si>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</si>
  <si>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</si>
  <si>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</si>
  <si>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</si>
  <si>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</si>
  <si>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</si>
  <si>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</si>
  <si>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</si>
  <si>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</si>
  <si>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</si>
  <si>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</si>
  <si>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</si>
  <si>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</si>
  <si>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</si>
  <si>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</si>
  <si>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</si>
  <si>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</si>
  <si>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</si>
  <si>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</si>
  <si>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</si>
  <si>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</si>
  <si>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</si>
  <si>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</si>
  <si>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</si>
  <si>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</si>
  <si>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</si>
  <si>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</si>
  <si>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</si>
  <si>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</si>
  <si>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</si>
  <si>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</si>
  <si>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</si>
  <si>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</si>
  <si>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</si>
  <si>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</si>
  <si>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</si>
  <si>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</si>
  <si>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</si>
  <si>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</si>
  <si>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</si>
  <si>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</si>
  <si>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</si>
  <si>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</si>
  <si>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</si>
  <si>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</si>
  <si>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</si>
  <si>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</si>
  <si>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</si>
  <si>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</si>
  <si>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</si>
  <si>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</si>
  <si>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</si>
  <si>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</si>
  <si>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</si>
  <si>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</si>
  <si>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</si>
  <si>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</si>
  <si>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</si>
  <si>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</si>
  <si>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</si>
  <si>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</si>
  <si>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</si>
  <si>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</si>
  <si>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</si>
  <si>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</si>
  <si>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</si>
  <si>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</si>
  <si>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</si>
  <si>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</si>
  <si>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</si>
  <si>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</si>
  <si>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</si>
  <si>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</si>
  <si>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</si>
  <si>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</si>
  <si>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</si>
  <si>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</si>
  <si>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</si>
  <si>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</si>
  <si>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</si>
  <si>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</si>
  <si>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</si>
  <si>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</si>
  <si>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</si>
  <si>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</si>
  <si>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</si>
  <si>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</si>
  <si>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</si>
  <si>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</si>
  <si>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</si>
  <si>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</si>
  <si>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</si>
  <si>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</si>
  <si>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</si>
  <si>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</si>
  <si>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</si>
  <si>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</si>
  <si>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</si>
  <si>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</si>
  <si>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</si>
  <si>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</si>
  <si>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</si>
  <si>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</si>
  <si>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</si>
  <si>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</si>
  <si>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</si>
  <si>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</si>
  <si>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</si>
  <si>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</si>
  <si>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</si>
  <si>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</si>
  <si>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</si>
  <si>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</si>
  <si>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</si>
  <si>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</si>
  <si>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</si>
  <si>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</si>
  <si>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</si>
  <si>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</si>
  <si>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</si>
  <si>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</si>
  <si>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</si>
  <si>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</si>
  <si>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</si>
  <si>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</si>
  <si>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</si>
  <si>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</si>
  <si>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</si>
  <si>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</si>
  <si>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</si>
  <si>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</si>
  <si>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</si>
  <si>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</si>
  <si>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</si>
  <si>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</si>
  <si>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</si>
  <si>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</si>
  <si>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</si>
  <si>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</si>
  <si>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</si>
  <si>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</si>
  <si>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</si>
  <si>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</si>
  <si>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</si>
  <si>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</si>
  <si>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</si>
  <si>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</si>
  <si>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</si>
  <si>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</si>
  <si>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</si>
  <si>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</si>
  <si>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</si>
  <si>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</si>
  <si>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</si>
  <si>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</si>
  <si>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</si>
  <si>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</si>
  <si>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</si>
  <si>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</si>
  <si>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</si>
  <si>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</si>
  <si>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</si>
  <si>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</si>
  <si>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</si>
  <si>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</si>
  <si>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</si>
  <si>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</si>
  <si>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</si>
  <si>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</si>
  <si>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</si>
  <si>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</si>
  <si>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</si>
  <si>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</si>
  <si>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</si>
  <si>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</si>
  <si>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</si>
  <si>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</si>
  <si>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</si>
  <si>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</si>
  <si>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</si>
  <si>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</si>
  <si>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</si>
  <si>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</si>
  <si>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</si>
  <si>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</si>
  <si>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</si>
  <si>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</si>
  <si>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</si>
  <si>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</si>
  <si>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</si>
  <si>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</si>
  <si>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</si>
  <si>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</si>
  <si>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</si>
  <si>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</si>
  <si>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</si>
  <si>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</si>
  <si>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</si>
  <si>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</si>
  <si>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</si>
  <si>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</si>
  <si>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</si>
  <si>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</si>
  <si>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</si>
  <si>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</si>
  <si>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</si>
  <si>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</si>
  <si>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</si>
  <si>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</si>
  <si>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</si>
  <si>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</si>
  <si>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</si>
  <si>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</si>
  <si>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</si>
  <si>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</si>
  <si>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</si>
  <si>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</si>
  <si>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</si>
  <si>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</si>
  <si>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</si>
  <si>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</si>
  <si>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</si>
  <si>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</si>
  <si>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</si>
  <si>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</si>
  <si>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</si>
  <si>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</si>
  <si>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</si>
  <si>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</si>
  <si>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</si>
  <si>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</si>
  <si>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</si>
  <si>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</si>
  <si>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</si>
  <si>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</si>
  <si>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</si>
  <si>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</si>
  <si>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</si>
  <si>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</si>
  <si>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</si>
  <si>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</si>
  <si>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</si>
  <si>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</si>
  <si>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</si>
  <si>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</si>
  <si>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</si>
  <si>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</si>
  <si>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</si>
  <si>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</si>
  <si>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</si>
  <si>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</si>
  <si>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</si>
  <si>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</si>
  <si>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</si>
  <si>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</si>
  <si>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</si>
  <si>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</si>
  <si>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</si>
  <si>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</si>
  <si>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</si>
  <si>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</si>
  <si>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</si>
  <si>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</si>
  <si>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</si>
  <si>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</si>
  <si>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</si>
  <si>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</si>
  <si>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</si>
  <si>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</si>
  <si>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</si>
  <si>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</si>
  <si>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</si>
  <si>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</si>
  <si>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</si>
  <si>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</si>
  <si>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</si>
  <si>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</si>
  <si>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</si>
  <si>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</si>
  <si>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</si>
  <si>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</si>
  <si>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</si>
  <si>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</si>
  <si>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</si>
  <si>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</si>
  <si>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</si>
  <si>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</si>
  <si>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</si>
  <si>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</si>
  <si>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</si>
  <si>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</si>
  <si>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</si>
  <si>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</si>
  <si>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</si>
  <si>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</si>
  <si>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</si>
  <si>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</si>
  <si>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</si>
  <si>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</si>
  <si>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</si>
  <si>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</si>
  <si>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</si>
  <si>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</si>
  <si>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</si>
  <si>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</si>
  <si>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</si>
  <si>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</si>
  <si>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</si>
  <si>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</si>
  <si>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</si>
  <si>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</si>
  <si>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</si>
  <si>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</si>
  <si>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</si>
  <si>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</si>
  <si>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</si>
  <si>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</si>
  <si>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</si>
  <si>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</si>
  <si>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</si>
  <si>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</si>
  <si>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</si>
  <si>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</si>
  <si>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</si>
  <si>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</si>
  <si>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</si>
  <si>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</si>
  <si>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</si>
  <si>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</si>
  <si>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</si>
  <si>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</si>
  <si>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</si>
  <si>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</si>
  <si>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</si>
  <si>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</si>
  <si>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</si>
  <si>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</si>
  <si>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</si>
  <si>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</si>
  <si>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</si>
  <si>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</si>
  <si>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</si>
  <si>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</si>
  <si>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</si>
  <si>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</si>
  <si>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</si>
  <si>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</si>
  <si>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</si>
  <si>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</si>
  <si>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</si>
  <si>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</si>
  <si>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</si>
  <si>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</si>
  <si>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</si>
  <si>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</si>
  <si>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</si>
  <si>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</si>
  <si>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</si>
  <si>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</si>
  <si>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</si>
  <si>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</si>
  <si>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</si>
  <si>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</si>
  <si>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</si>
  <si>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</si>
  <si>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</si>
  <si>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</si>
  <si>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</si>
  <si>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</si>
  <si>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</si>
  <si>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</si>
  <si>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</si>
  <si>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</si>
  <si>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</si>
  <si>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</si>
  <si>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</si>
  <si>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</si>
  <si>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</si>
  <si>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</si>
  <si>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</si>
  <si>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</si>
  <si>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</si>
  <si>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</si>
  <si>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</si>
  <si>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</si>
  <si>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</si>
  <si>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</si>
  <si>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</si>
  <si>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</si>
  <si>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</si>
  <si>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</si>
  <si>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</si>
  <si>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</si>
  <si>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</si>
  <si>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</si>
  <si>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</si>
  <si>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</si>
  <si>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</si>
  <si>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</si>
  <si>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</si>
  <si>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</si>
  <si>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</si>
  <si>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</si>
  <si>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</si>
  <si>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</si>
  <si>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</si>
  <si>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</si>
  <si>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</si>
  <si>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</si>
  <si>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</si>
  <si>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</si>
  <si>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</si>
  <si>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</si>
  <si>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</si>
  <si>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</si>
  <si>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</si>
  <si>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</si>
  <si>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</si>
  <si>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</si>
  <si>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</si>
  <si>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</si>
  <si>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</si>
  <si>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</si>
  <si>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</si>
  <si>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</si>
  <si>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</si>
  <si>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</si>
  <si>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</si>
  <si>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</si>
  <si>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</si>
  <si>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</si>
  <si>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</si>
  <si>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</si>
  <si>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</si>
  <si>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</si>
  <si>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</si>
  <si>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</si>
  <si>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</si>
  <si>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</si>
  <si>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</si>
  <si>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</si>
  <si>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</si>
  <si>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</si>
  <si>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</si>
  <si>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</si>
  <si>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</si>
  <si>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</si>
  <si>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</si>
  <si>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</si>
  <si>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</si>
  <si>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</si>
  <si>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</si>
  <si>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</si>
  <si>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</si>
  <si>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</si>
  <si>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</si>
  <si>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</si>
  <si>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</si>
  <si>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</si>
  <si>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</si>
  <si>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</si>
  <si>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</si>
  <si>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</si>
  <si>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</si>
  <si>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</si>
  <si>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</si>
  <si>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</si>
  <si>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</si>
  <si>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</si>
  <si>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</si>
  <si>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</si>
  <si>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</si>
  <si>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</si>
  <si>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</si>
  <si>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</si>
  <si>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</si>
  <si>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</si>
  <si>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</si>
  <si>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</si>
  <si>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</si>
  <si>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</si>
  <si>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</si>
  <si>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</si>
  <si>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</si>
  <si>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</si>
  <si>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</si>
  <si>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</si>
  <si>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</si>
  <si>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</si>
  <si>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</si>
  <si>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</si>
  <si>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</si>
  <si>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</si>
  <si>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</si>
  <si>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</si>
  <si>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</si>
  <si>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</si>
  <si>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</si>
  <si>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</si>
  <si>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</si>
  <si>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</si>
  <si>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</si>
  <si>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</si>
  <si>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</si>
  <si>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</si>
  <si>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</si>
  <si>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</si>
  <si>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</si>
  <si>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</si>
  <si>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</si>
  <si>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</si>
  <si>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</si>
  <si>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</si>
  <si>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</si>
  <si>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</si>
  <si>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</si>
  <si>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</si>
  <si>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</si>
  <si>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</si>
  <si>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</si>
  <si>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</si>
  <si>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</si>
  <si>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</si>
  <si>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</si>
  <si>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</si>
  <si>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</si>
  <si>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</si>
  <si>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</si>
  <si>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</si>
  <si>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</si>
  <si>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</si>
  <si>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</si>
  <si>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</si>
  <si>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</si>
  <si>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</si>
  <si>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</si>
  <si>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</si>
  <si>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</si>
  <si>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</si>
  <si>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</si>
  <si>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</si>
  <si>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</si>
  <si>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</si>
  <si>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</si>
  <si>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</si>
  <si>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</si>
  <si>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</si>
  <si>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</si>
  <si>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</si>
  <si>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</si>
  <si>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</si>
  <si>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</si>
  <si>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</si>
  <si>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</si>
  <si>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</si>
  <si>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</si>
  <si>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</si>
  <si>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</si>
  <si>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</si>
  <si>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</si>
  <si>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</si>
  <si>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</si>
  <si>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</si>
  <si>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</si>
  <si>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</si>
  <si>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</si>
  <si>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</si>
  <si>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</si>
  <si>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</si>
  <si>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</si>
  <si>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</si>
  <si>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</si>
  <si>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</si>
  <si>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</si>
  <si>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</si>
  <si>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</si>
  <si>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</si>
  <si>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</si>
  <si>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</si>
  <si>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</si>
  <si>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</si>
  <si>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</si>
  <si>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</si>
  <si>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</si>
  <si>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</si>
  <si>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</si>
  <si>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</si>
  <si>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</si>
  <si>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</si>
  <si>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</si>
  <si>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</si>
  <si>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</si>
  <si>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</si>
  <si>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</si>
  <si>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</si>
  <si>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</si>
  <si>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</si>
  <si>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</si>
  <si>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</si>
  <si>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</si>
  <si>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</si>
  <si>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</si>
  <si>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</si>
  <si>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</si>
  <si>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</si>
  <si>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</si>
  <si>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</si>
  <si>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</si>
  <si>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</si>
  <si>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</si>
  <si>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</si>
  <si>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</si>
  <si>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</si>
  <si>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</si>
  <si>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</si>
  <si>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</si>
  <si>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</si>
  <si>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</si>
  <si>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</si>
  <si>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</si>
  <si>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</si>
  <si>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</si>
  <si>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</si>
  <si>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</si>
  <si>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</si>
  <si>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</si>
  <si>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</si>
  <si>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</si>
  <si>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</si>
  <si>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</si>
  <si>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</si>
  <si>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</si>
  <si>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</si>
  <si>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</si>
  <si>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</si>
  <si>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</si>
  <si>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</si>
  <si>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</si>
  <si>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</si>
  <si>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</si>
  <si>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</si>
  <si>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</si>
  <si>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</si>
  <si>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</si>
  <si>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</si>
  <si>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</si>
  <si>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</si>
  <si>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</si>
  <si>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</si>
  <si>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</si>
  <si>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</si>
  <si>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</si>
  <si>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</si>
  <si>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</si>
  <si>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</si>
  <si>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</si>
  <si>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</si>
  <si>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</si>
  <si>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</si>
  <si>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</si>
  <si>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</si>
  <si>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</si>
  <si>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</si>
  <si>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</si>
  <si>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</si>
  <si>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</si>
  <si>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</si>
  <si>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</si>
  <si>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</si>
  <si>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</si>
  <si>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</si>
  <si>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</si>
  <si>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</si>
  <si>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</si>
  <si>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</si>
  <si>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</si>
  <si>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</si>
  <si>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</si>
  <si>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</si>
  <si>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</si>
  <si>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</si>
  <si>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</si>
  <si>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</si>
  <si>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</si>
  <si>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</si>
  <si>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</si>
  <si>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</si>
  <si>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</si>
  <si>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</si>
  <si>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</si>
  <si>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</si>
  <si>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</si>
  <si>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</si>
  <si>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</si>
  <si>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</si>
  <si>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</si>
  <si>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</si>
  <si>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</si>
  <si>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</si>
  <si>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</si>
  <si>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</si>
  <si>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</si>
  <si>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</si>
  <si>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</si>
  <si>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</si>
  <si>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</si>
  <si>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</si>
  <si>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</si>
  <si>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</si>
  <si>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</si>
  <si>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</si>
  <si>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</si>
  <si>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</si>
  <si>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</si>
  <si>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</si>
  <si>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</si>
  <si>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</si>
  <si>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</si>
  <si>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</si>
  <si>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</si>
  <si>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</si>
  <si>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</si>
  <si>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</si>
  <si>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</si>
  <si>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</si>
  <si>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</si>
  <si>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</si>
  <si>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</si>
  <si>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</si>
  <si>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</si>
  <si>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</si>
  <si>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</si>
  <si>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</si>
  <si>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</si>
  <si>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</si>
  <si>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</si>
  <si>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</si>
  <si>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</si>
  <si>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</si>
  <si>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</si>
  <si>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</si>
  <si>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</si>
  <si>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</si>
  <si>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</si>
  <si>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</si>
  <si>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</si>
  <si>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</si>
  <si>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</si>
  <si>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</si>
  <si>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</si>
  <si>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</si>
  <si>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</si>
  <si>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</si>
  <si>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</si>
  <si>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</si>
  <si>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</si>
  <si>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</si>
  <si>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</si>
  <si>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</si>
  <si>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</si>
  <si>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</si>
  <si>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</si>
  <si>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</si>
  <si>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</si>
  <si>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</si>
  <si>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</si>
  <si>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</si>
  <si>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</si>
  <si>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</si>
  <si>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</si>
  <si>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</si>
  <si>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</si>
  <si>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</si>
  <si>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</si>
  <si>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</si>
  <si>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</si>
  <si>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</si>
  <si>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</si>
  <si>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</si>
  <si>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</si>
  <si>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</si>
  <si>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</si>
  <si>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</si>
  <si>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</si>
  <si>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</si>
  <si>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</si>
  <si>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</si>
  <si>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</si>
  <si>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</si>
  <si>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</si>
  <si>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</si>
  <si>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</si>
  <si>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</si>
  <si>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</si>
  <si>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</si>
  <si>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</si>
  <si>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</si>
  <si>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</si>
  <si>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</si>
  <si>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</si>
  <si>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</si>
  <si>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</si>
  <si>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</si>
  <si>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</si>
  <si>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</si>
  <si>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</si>
  <si>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</si>
  <si>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</si>
  <si>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</si>
  <si>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</si>
  <si>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</si>
  <si>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</si>
  <si>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</si>
  <si>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</si>
  <si>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</si>
  <si>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</si>
  <si>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</si>
  <si>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</si>
  <si>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</si>
  <si>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</si>
  <si>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</si>
  <si>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</si>
  <si>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</si>
  <si>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</si>
  <si>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</si>
  <si>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</si>
  <si>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</si>
  <si>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</si>
  <si>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</si>
  <si>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</si>
  <si>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</si>
  <si>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</si>
  <si>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</si>
  <si>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</si>
  <si>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</si>
  <si>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</si>
  <si>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</si>
  <si>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</si>
  <si>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</si>
  <si>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</si>
  <si>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</si>
  <si>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</si>
  <si>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</si>
  <si>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</si>
  <si>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</si>
  <si>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</si>
  <si>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</si>
  <si>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</si>
  <si>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</si>
  <si>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</si>
  <si>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</si>
  <si>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</si>
  <si>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</si>
  <si>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</si>
  <si>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</si>
  <si>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</si>
  <si>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</si>
  <si>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</si>
  <si>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</si>
  <si>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</si>
  <si>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</si>
  <si>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</si>
  <si>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</si>
  <si>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</si>
  <si>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</si>
  <si>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</si>
  <si>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</si>
  <si>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</si>
  <si>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</si>
  <si>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</si>
  <si>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</si>
  <si>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</si>
  <si>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</si>
  <si>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</si>
  <si>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</si>
  <si>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</si>
  <si>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</si>
  <si>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</si>
  <si>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</si>
  <si>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</si>
  <si>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</si>
  <si>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</si>
  <si>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</si>
  <si>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</si>
  <si>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</si>
  <si>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</si>
  <si>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</si>
  <si>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</si>
  <si>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</si>
  <si>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</si>
  <si>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</si>
  <si>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</si>
  <si>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</si>
  <si>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</si>
  <si>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</si>
  <si>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</si>
  <si>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</si>
  <si>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</si>
  <si>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</si>
  <si>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</si>
  <si>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</si>
  <si>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</si>
  <si>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</si>
  <si>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</si>
  <si>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</si>
  <si>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</si>
  <si>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</si>
  <si>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</si>
  <si>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</si>
  <si>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</si>
  <si>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</si>
  <si>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</si>
  <si>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</si>
  <si>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</si>
  <si>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</si>
  <si>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</si>
  <si>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</si>
  <si>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</si>
  <si>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</si>
  <si>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</si>
  <si>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</si>
  <si>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</si>
  <si>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</si>
  <si>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</si>
  <si>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</si>
  <si>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</si>
  <si>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</si>
  <si>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</si>
  <si>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</si>
  <si>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</si>
  <si>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</si>
  <si>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</si>
  <si>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</si>
  <si>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</si>
  <si>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</si>
  <si>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</si>
  <si>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</si>
  <si>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</si>
  <si>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</si>
  <si>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</si>
  <si>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</si>
  <si>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</si>
  <si>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</si>
  <si>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</si>
  <si>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</si>
  <si>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</si>
  <si>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</si>
  <si>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</si>
  <si>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</si>
  <si>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</si>
  <si>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</si>
  <si>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</si>
  <si>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</si>
  <si>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</si>
  <si>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</si>
  <si>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</si>
  <si>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</si>
  <si>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</si>
  <si>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</si>
  <si>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</si>
  <si>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</si>
  <si>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</si>
  <si>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</si>
  <si>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</si>
  <si>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</si>
  <si>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</si>
  <si>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</si>
  <si>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</si>
  <si>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</si>
  <si>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</si>
  <si>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</si>
  <si>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</si>
  <si>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</si>
  <si>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</si>
  <si>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</si>
  <si>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</si>
  <si>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</si>
  <si>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</si>
  <si>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</si>
  <si>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</si>
  <si>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</si>
  <si>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</si>
  <si>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</si>
  <si>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</si>
  <si>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</si>
  <si>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</si>
  <si>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</si>
  <si>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</si>
  <si>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</si>
  <si>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</si>
  <si>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</si>
  <si>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</si>
  <si>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</si>
  <si>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</si>
  <si>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</si>
  <si>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</si>
  <si>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</si>
  <si>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</si>
  <si>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</si>
  <si>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</si>
  <si>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</si>
  <si>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</si>
  <si>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</si>
  <si>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</si>
  <si>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</si>
  <si>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</si>
  <si>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</si>
  <si>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</si>
  <si>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</si>
  <si>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</si>
  <si>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</si>
  <si>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</si>
  <si>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</si>
  <si>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</si>
  <si>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</si>
  <si>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</si>
  <si>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</si>
  <si>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</si>
  <si>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</si>
  <si>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</si>
  <si>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</si>
  <si>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</si>
  <si>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</si>
  <si>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</si>
  <si>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</si>
  <si>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</si>
  <si>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</si>
  <si>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</si>
  <si>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</si>
  <si>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</si>
  <si>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</si>
  <si>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</si>
  <si>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</si>
  <si>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</si>
  <si>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</si>
  <si>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</si>
  <si>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</si>
  <si>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</si>
  <si>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</si>
  <si>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</si>
  <si>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</si>
  <si>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</si>
  <si>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</si>
  <si>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</si>
  <si>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</si>
  <si>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</si>
  <si>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</si>
  <si>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</si>
  <si>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</si>
  <si>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</si>
  <si>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</si>
  <si>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</si>
  <si>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</si>
  <si>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</si>
  <si>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</si>
  <si>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</si>
  <si>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</si>
  <si>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</si>
  <si>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</si>
  <si>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</si>
  <si>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</si>
  <si>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</si>
  <si>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</si>
  <si>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</si>
  <si>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</si>
  <si>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</si>
  <si>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</si>
  <si>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</si>
  <si>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</si>
  <si>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</si>
  <si>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</si>
  <si>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</si>
  <si>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</si>
  <si>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</si>
  <si>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</si>
  <si>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</si>
  <si>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</si>
  <si>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</si>
  <si>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</si>
  <si>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</si>
  <si>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</si>
  <si>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</si>
  <si>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</si>
  <si>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</si>
  <si>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</si>
  <si>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</si>
  <si>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</si>
  <si>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</si>
  <si>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</si>
  <si>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</si>
  <si>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</si>
  <si>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</si>
  <si>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</si>
  <si>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</si>
  <si>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</si>
  <si>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</si>
  <si>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</si>
  <si>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</si>
  <si>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</si>
  <si>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</si>
  <si>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</si>
  <si>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</si>
  <si>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</si>
  <si>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</si>
  <si>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</si>
  <si>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</si>
  <si>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</si>
  <si>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</si>
  <si>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</si>
  <si>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</si>
  <si>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</si>
  <si>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</si>
  <si>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</si>
  <si>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</si>
  <si>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</si>
  <si>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</si>
  <si>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</si>
  <si>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</si>
  <si>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</si>
  <si>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</si>
  <si>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</si>
  <si>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</si>
  <si>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</si>
  <si>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</si>
  <si>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</si>
  <si>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</si>
  <si>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</si>
  <si>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</si>
  <si>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</si>
  <si>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</si>
  <si>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</si>
  <si>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</si>
  <si>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</si>
  <si>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</si>
  <si>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</si>
  <si>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</si>
  <si>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</si>
  <si>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</si>
  <si>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</si>
  <si>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</si>
  <si>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</si>
  <si>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</si>
  <si>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</si>
  <si>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</si>
  <si>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</si>
  <si>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</si>
  <si>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</si>
  <si>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</si>
  <si>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</si>
  <si>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</si>
  <si>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</si>
  <si>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</si>
  <si>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</si>
  <si>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</si>
  <si>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</si>
  <si>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</si>
  <si>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</si>
  <si>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</si>
  <si>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</si>
  <si>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</si>
  <si>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</si>
  <si>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</si>
  <si>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</si>
  <si>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</si>
  <si>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</si>
  <si>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</si>
  <si>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</si>
  <si>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</si>
  <si>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</si>
  <si>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</si>
  <si>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</si>
  <si>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</si>
  <si>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</si>
  <si>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</si>
  <si>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</si>
  <si>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</si>
  <si>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</si>
  <si>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</si>
  <si>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</si>
  <si>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</si>
  <si>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</si>
  <si>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</si>
  <si>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</si>
  <si>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</si>
  <si>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</si>
  <si>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</si>
  <si>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</si>
  <si>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</si>
  <si>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</si>
  <si>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</si>
  <si>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</si>
  <si>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</si>
  <si>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</si>
  <si>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</si>
  <si>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</si>
  <si>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</si>
  <si>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</si>
  <si>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</si>
  <si>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</si>
  <si>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</si>
  <si>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</si>
  <si>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</si>
  <si>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</si>
  <si>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</si>
  <si>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</si>
  <si>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</si>
  <si>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</si>
  <si>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</si>
  <si>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</si>
  <si>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</si>
  <si>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</si>
  <si>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</si>
  <si>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</si>
  <si>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</si>
  <si>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</si>
  <si>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</si>
  <si>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</si>
  <si>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</si>
  <si>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</si>
  <si>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</si>
  <si>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</si>
  <si>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</si>
  <si>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</si>
  <si>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</si>
  <si>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</si>
  <si>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</si>
  <si>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</si>
  <si>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</si>
  <si>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</si>
  <si>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</si>
  <si>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</si>
  <si>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</si>
  <si>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</si>
  <si>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</si>
  <si>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</si>
  <si>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</si>
  <si>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</si>
  <si>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</si>
  <si>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</si>
  <si>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</si>
  <si>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</si>
  <si>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</si>
  <si>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</si>
  <si>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</si>
  <si>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</si>
  <si>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</si>
  <si>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</si>
  <si>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</si>
  <si>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</si>
  <si>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</si>
  <si>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</si>
  <si>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</si>
  <si>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</si>
  <si>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</si>
  <si>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</si>
  <si>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</si>
  <si>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</si>
  <si>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</si>
  <si>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</si>
  <si>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</si>
  <si>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</si>
  <si>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</si>
  <si>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</si>
  <si>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</si>
  <si>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</si>
  <si>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</si>
  <si>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</si>
  <si>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</si>
  <si>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</si>
  <si>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</si>
  <si>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</si>
  <si>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</si>
  <si>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</si>
  <si>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</si>
  <si>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</si>
  <si>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</si>
  <si>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</si>
  <si>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</si>
  <si>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</si>
  <si>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</si>
  <si>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</si>
  <si>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</si>
  <si>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</si>
  <si>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</si>
  <si>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</si>
  <si>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</si>
  <si>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</si>
  <si>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</si>
  <si>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</si>
  <si>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</si>
  <si>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</si>
  <si>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</si>
  <si>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</si>
  <si>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</si>
  <si>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</si>
  <si>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</si>
  <si>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</si>
  <si>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</si>
  <si>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</si>
  <si>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</si>
  <si>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</si>
  <si>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</si>
  <si>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</si>
  <si>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</si>
  <si>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</si>
  <si>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</si>
  <si>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</si>
  <si>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</si>
  <si>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</si>
  <si>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</si>
  <si>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</si>
  <si>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</si>
  <si>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</si>
  <si>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</si>
  <si>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</si>
  <si>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</si>
  <si>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</si>
  <si>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</si>
  <si>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</si>
  <si>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</si>
  <si>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</si>
  <si>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</si>
  <si>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</si>
  <si>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</si>
  <si>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</si>
  <si>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</si>
  <si>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</si>
  <si>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</si>
  <si>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</si>
  <si>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</si>
  <si>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</si>
  <si>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</si>
  <si>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</si>
  <si>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</si>
  <si>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</si>
  <si>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</si>
  <si>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</si>
  <si>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</si>
  <si>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</si>
  <si>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</si>
  <si>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</si>
  <si>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</si>
  <si>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</si>
  <si>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</si>
  <si>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</si>
  <si>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</si>
  <si>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</si>
  <si>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</si>
  <si>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</si>
  <si>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</si>
  <si>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</si>
  <si>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</si>
  <si>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</si>
  <si>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</si>
  <si>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</si>
  <si>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</si>
  <si>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</si>
  <si>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</si>
  <si>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</si>
  <si>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</si>
  <si>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</si>
  <si>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</si>
  <si>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</si>
  <si>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</si>
  <si>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</si>
  <si>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</si>
  <si>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</si>
  <si>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</si>
  <si>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</si>
  <si>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</si>
  <si>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</si>
  <si>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</si>
  <si>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</si>
  <si>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</si>
  <si>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</si>
  <si>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</si>
  <si>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</si>
  <si>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</si>
  <si>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</si>
  <si>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</si>
  <si>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</si>
  <si>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</si>
  <si>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</si>
  <si>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</si>
  <si>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</si>
  <si>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</si>
  <si>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</si>
  <si>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</si>
  <si>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</si>
  <si>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</si>
  <si>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</si>
  <si>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</si>
  <si>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</si>
  <si>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</si>
  <si>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</si>
  <si>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</si>
  <si>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</si>
  <si>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</si>
  <si>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</si>
  <si>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</si>
  <si>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</si>
  <si>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</si>
  <si>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</si>
  <si>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</si>
  <si>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</si>
  <si>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</si>
  <si>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</si>
  <si>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</si>
  <si>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</si>
  <si>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</si>
  <si>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</si>
  <si>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</si>
  <si>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</si>
  <si>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</si>
  <si>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</si>
  <si>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</si>
  <si>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</si>
  <si>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</si>
  <si>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</si>
  <si>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</si>
  <si>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</si>
  <si>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</si>
  <si>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</si>
  <si>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</si>
  <si>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</si>
  <si>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</si>
  <si>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</si>
  <si>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</si>
  <si>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</si>
  <si>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</si>
  <si>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</si>
  <si>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</si>
  <si>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</si>
  <si>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</si>
  <si>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</si>
  <si>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</si>
  <si>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</si>
  <si>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</si>
  <si>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</si>
  <si>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</si>
  <si>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</si>
  <si>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</si>
  <si>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</si>
  <si>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</si>
  <si>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</si>
  <si>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</si>
  <si>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</si>
  <si>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</si>
  <si>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</si>
  <si>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</si>
  <si>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</si>
  <si>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</si>
  <si>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</si>
  <si>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</si>
  <si>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</si>
  <si>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</si>
  <si>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</si>
  <si>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</si>
  <si>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</si>
  <si>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</si>
  <si>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</si>
  <si>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</si>
  <si>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</si>
  <si>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</si>
  <si>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</si>
  <si>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</si>
  <si>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</si>
  <si>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</si>
  <si>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</si>
  <si>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</si>
  <si>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</si>
  <si>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</si>
  <si>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</si>
  <si>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</si>
  <si>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</si>
  <si>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</si>
  <si>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</si>
  <si>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</si>
  <si>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</si>
  <si>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</si>
  <si>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</si>
  <si>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</si>
  <si>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</si>
  <si>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</si>
  <si>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</si>
  <si>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</si>
  <si>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</si>
  <si>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</si>
  <si>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</si>
  <si>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</si>
  <si>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</si>
  <si>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</si>
  <si>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</si>
  <si>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</si>
  <si>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</si>
  <si>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</si>
  <si>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</si>
  <si>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</si>
  <si>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</si>
  <si>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</si>
  <si>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</si>
  <si>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</si>
  <si>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</si>
  <si>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</si>
  <si>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</si>
  <si>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</si>
  <si>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</si>
  <si>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</si>
  <si>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</si>
  <si>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</si>
  <si>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</si>
  <si>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</si>
  <si>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</si>
  <si>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</si>
  <si>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</si>
  <si>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</si>
  <si>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</si>
  <si>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</si>
  <si>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</si>
  <si>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</si>
  <si>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</si>
  <si>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</si>
  <si>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</si>
  <si>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</si>
  <si>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</si>
  <si>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</si>
  <si>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</si>
  <si>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</si>
  <si>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</si>
  <si>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</si>
  <si>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</si>
  <si>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</si>
  <si>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</si>
  <si>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</si>
  <si>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</si>
  <si>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</si>
  <si>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</si>
  <si>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</si>
  <si>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</si>
  <si>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</si>
  <si>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</si>
  <si>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</si>
  <si>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</si>
  <si>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</si>
  <si>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</si>
  <si>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</si>
  <si>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</si>
  <si>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</si>
  <si>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</si>
  <si>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</si>
  <si>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</si>
  <si>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</si>
  <si>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</si>
  <si>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</si>
  <si>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</si>
  <si>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</si>
  <si>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</si>
  <si>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</si>
  <si>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</si>
  <si>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</si>
  <si>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</si>
  <si>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</si>
  <si>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</si>
  <si>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</si>
  <si>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</si>
  <si>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</si>
  <si>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</si>
  <si>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</si>
  <si>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</si>
  <si>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</si>
  <si>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</si>
  <si>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</si>
  <si>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</si>
  <si>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</si>
  <si>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</si>
  <si>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</si>
  <si>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</si>
  <si>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</si>
  <si>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</si>
  <si>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</si>
  <si>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</si>
  <si>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</si>
  <si>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</si>
  <si>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</si>
  <si>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</si>
  <si>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</si>
  <si>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</si>
  <si>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</si>
  <si>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</si>
  <si>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</si>
  <si>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</si>
  <si>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</si>
  <si>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</si>
  <si>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</si>
  <si>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</si>
  <si>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</si>
  <si>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</si>
  <si>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</si>
  <si>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</si>
  <si>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</si>
  <si>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</si>
  <si>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</si>
  <si>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</si>
  <si>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</si>
  <si>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</si>
  <si>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</si>
  <si>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</si>
  <si>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</si>
  <si>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</si>
  <si>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</si>
  <si>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</si>
  <si>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</si>
  <si>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</si>
  <si>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</si>
  <si>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</si>
  <si>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</si>
  <si>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</si>
  <si>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</si>
  <si>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</si>
  <si>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</si>
  <si>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</si>
  <si>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</si>
  <si>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</si>
  <si>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</si>
  <si>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</si>
  <si>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</si>
  <si>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</si>
  <si>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</si>
  <si>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</si>
  <si>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</si>
  <si>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</si>
  <si>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</si>
  <si>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</si>
  <si>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</si>
  <si>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</si>
  <si>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</si>
  <si>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</si>
  <si>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</si>
  <si>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</si>
  <si>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</si>
  <si>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</si>
  <si>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</si>
  <si>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</si>
  <si>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</si>
  <si>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</si>
  <si>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</si>
  <si>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</si>
  <si>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</si>
  <si>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</si>
  <si>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</si>
  <si>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</si>
  <si>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</si>
  <si>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</si>
  <si>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</si>
  <si>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</si>
  <si>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</si>
  <si>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</si>
  <si>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</si>
  <si>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</si>
  <si>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</si>
  <si>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</si>
  <si>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</si>
  <si>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</si>
  <si>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</si>
  <si>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</si>
  <si>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</si>
  <si>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</si>
  <si>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</si>
  <si>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</si>
  <si>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</si>
  <si>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</si>
  <si>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</si>
  <si>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</si>
  <si>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</si>
  <si>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</si>
  <si>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</si>
  <si>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</si>
  <si>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</si>
  <si>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</si>
  <si>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</si>
  <si>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</si>
  <si>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</si>
  <si>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</si>
  <si>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</si>
  <si>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</si>
  <si>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</si>
  <si>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</si>
  <si>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</si>
  <si>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</si>
  <si>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</si>
  <si>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</si>
  <si>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</si>
  <si>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</si>
  <si>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</si>
  <si>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</si>
  <si>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</si>
  <si>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</si>
  <si>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</si>
  <si>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</si>
  <si>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</si>
  <si>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</si>
  <si>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</si>
  <si>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</si>
  <si>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</si>
  <si>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</si>
  <si>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</si>
  <si>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</si>
  <si>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</si>
  <si>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</si>
  <si>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</si>
  <si>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</si>
  <si>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</si>
  <si>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</si>
  <si>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</si>
  <si>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</si>
  <si>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</si>
  <si>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</si>
  <si>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</si>
  <si>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</si>
  <si>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</si>
  <si>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</si>
  <si>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</si>
  <si>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</si>
  <si>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</si>
  <si>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</si>
  <si>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</si>
  <si>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</si>
  <si>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</si>
  <si>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</si>
  <si>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</si>
  <si>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</si>
  <si>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</si>
  <si>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</si>
  <si>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</si>
  <si>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</si>
  <si>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</si>
  <si>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</si>
  <si>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</si>
  <si>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</si>
  <si>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</si>
  <si>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</si>
  <si>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</si>
  <si>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</si>
  <si>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</si>
  <si>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</si>
  <si>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</si>
  <si>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</si>
  <si>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</si>
  <si>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</si>
  <si>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</si>
  <si>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</si>
  <si>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</si>
  <si>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</si>
  <si>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</si>
  <si>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</si>
  <si>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</si>
  <si>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</si>
  <si>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</si>
  <si>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</si>
  <si>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</si>
  <si>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</si>
  <si>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</si>
  <si>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</si>
  <si>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</si>
  <si>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</si>
  <si>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</si>
  <si>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</si>
  <si>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</si>
  <si>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</si>
  <si>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</si>
  <si>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</si>
  <si>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</si>
  <si>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</si>
  <si>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</si>
  <si>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</si>
  <si>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</si>
  <si>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</si>
  <si>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</si>
  <si>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</si>
  <si>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</si>
  <si>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</si>
  <si>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</si>
  <si>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</si>
  <si>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</si>
  <si>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</si>
  <si>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</si>
  <si>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</si>
  <si>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</si>
  <si>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</si>
  <si>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</si>
  <si>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</si>
  <si>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</si>
  <si>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</si>
  <si>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</si>
  <si>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</si>
  <si>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</si>
  <si>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</si>
  <si>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</si>
  <si>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</si>
  <si>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</si>
  <si>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</si>
  <si>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</si>
  <si>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</si>
  <si>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</si>
  <si>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</si>
  <si>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</si>
  <si>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</si>
  <si>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</si>
  <si>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</si>
  <si>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</si>
  <si>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</si>
  <si>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</si>
  <si>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</si>
  <si>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</si>
  <si>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</si>
  <si>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</si>
  <si>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</si>
  <si>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</si>
  <si>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</si>
  <si>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</si>
  <si>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</si>
  <si>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</si>
  <si>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</si>
  <si>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</si>
  <si>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</si>
  <si>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</si>
  <si>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</si>
  <si>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</si>
  <si>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</si>
  <si>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</si>
  <si>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</si>
  <si>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</si>
  <si>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</si>
  <si>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</si>
  <si>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</si>
  <si>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</si>
  <si>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</si>
  <si>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</si>
  <si>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</si>
  <si>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</si>
  <si>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</si>
  <si>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</si>
  <si>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</si>
  <si>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</si>
  <si>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</si>
  <si>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</si>
  <si>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</si>
  <si>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</si>
  <si>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</si>
  <si>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</si>
  <si>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</si>
  <si>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</si>
  <si>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</si>
  <si>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</si>
  <si>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</si>
  <si>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</si>
  <si>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</si>
  <si>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</si>
  <si>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</si>
  <si>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</si>
  <si>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</si>
  <si>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</si>
  <si>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</si>
  <si>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</si>
  <si>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</si>
  <si>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</si>
  <si>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</si>
  <si>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</si>
  <si>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</si>
  <si>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</si>
  <si>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</si>
  <si>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</si>
  <si>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</si>
  <si>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</si>
  <si>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</si>
  <si>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</si>
  <si>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</si>
  <si>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</si>
  <si>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</si>
  <si>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</si>
  <si>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</si>
  <si>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</si>
  <si>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</si>
  <si>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</si>
  <si>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</si>
  <si>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</si>
  <si>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</si>
  <si>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</si>
  <si>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</si>
  <si>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</si>
  <si>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</si>
  <si>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</si>
  <si>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</si>
  <si>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</si>
  <si>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</si>
  <si>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</si>
  <si>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</si>
  <si>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</si>
  <si>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</si>
  <si>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</si>
  <si>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</si>
  <si>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</si>
  <si>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</si>
  <si>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</si>
  <si>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</si>
  <si>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</si>
  <si>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</si>
  <si>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</si>
  <si>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</si>
  <si>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</si>
  <si>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</si>
  <si>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</si>
  <si>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</si>
  <si>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</si>
  <si>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</si>
  <si>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</si>
  <si>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</si>
  <si>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</si>
  <si>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</si>
  <si>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</si>
  <si>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</si>
  <si>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</si>
  <si>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</si>
  <si>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</si>
  <si>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</si>
  <si>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</si>
  <si>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</si>
  <si>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</si>
  <si>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</si>
  <si>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</si>
  <si>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</si>
  <si>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</si>
  <si>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</si>
  <si>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</si>
  <si>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</si>
  <si>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</si>
  <si>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</si>
  <si>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</si>
  <si>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</si>
  <si>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</si>
  <si>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</si>
  <si>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</si>
  <si>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</si>
  <si>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</si>
  <si>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</si>
  <si>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</si>
  <si>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</si>
  <si>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</si>
  <si>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</si>
  <si>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</si>
  <si>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</si>
  <si>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</si>
  <si>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</si>
  <si>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</si>
  <si>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</si>
  <si>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</si>
  <si>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</si>
  <si>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</si>
  <si>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</si>
  <si>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</si>
  <si>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</si>
  <si>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</si>
  <si>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</si>
  <si>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</si>
  <si>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</si>
  <si>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</si>
  <si>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</si>
  <si>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</si>
  <si>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</si>
  <si>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</si>
  <si>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</si>
  <si>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</si>
  <si>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</si>
  <si>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</si>
  <si>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</si>
  <si>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</si>
  <si>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</si>
  <si>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</si>
  <si>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</si>
  <si>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</si>
  <si>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</si>
  <si>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</si>
  <si>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</si>
  <si>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</si>
  <si>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</si>
  <si>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</si>
  <si>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</si>
  <si>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</si>
  <si>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</si>
  <si>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</si>
  <si>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</si>
  <si>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</si>
  <si>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</si>
  <si>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</si>
  <si>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</si>
  <si>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</si>
  <si>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</si>
  <si>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</si>
  <si>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</si>
  <si>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</si>
  <si>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</si>
  <si>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</si>
  <si>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</si>
  <si>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</si>
  <si>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</si>
  <si>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</si>
  <si>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</si>
  <si>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</si>
  <si>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</si>
  <si>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</si>
  <si>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</si>
  <si>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</si>
  <si>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</si>
  <si>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</si>
  <si>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</si>
  <si>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</si>
  <si>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</si>
  <si>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</si>
  <si>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</si>
  <si>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</si>
  <si>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</si>
  <si>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</si>
  <si>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</si>
  <si>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</si>
  <si>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</si>
  <si>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</si>
  <si>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</si>
  <si>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</si>
  <si>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</si>
  <si>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</si>
  <si>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</si>
  <si>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</si>
  <si>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</si>
  <si>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</si>
  <si>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</si>
  <si>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</si>
  <si>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</si>
  <si>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</si>
  <si>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</si>
  <si>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</si>
  <si>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</si>
  <si>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</si>
  <si>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</si>
  <si>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</si>
  <si>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</si>
  <si>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</si>
  <si>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</si>
  <si>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</si>
  <si>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</si>
  <si>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</si>
  <si>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</si>
  <si>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</si>
  <si>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</si>
  <si>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</si>
  <si>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</si>
  <si>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</si>
  <si>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</si>
  <si>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</si>
  <si>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</si>
  <si>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</si>
  <si>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</si>
  <si>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</si>
  <si>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</si>
  <si>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</si>
  <si>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</si>
  <si>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</si>
  <si>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</si>
  <si>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</si>
  <si>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</si>
  <si>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</si>
  <si>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</si>
  <si>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</si>
  <si>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</si>
  <si>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</si>
  <si>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</si>
  <si>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</si>
  <si>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</si>
  <si>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</si>
  <si>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</si>
  <si>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</si>
  <si>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</si>
  <si>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</si>
  <si>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</si>
  <si>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</si>
  <si>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</si>
  <si>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</si>
  <si>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</si>
  <si>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</si>
  <si>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</si>
  <si>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</si>
  <si>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</si>
  <si>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</si>
  <si>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</si>
  <si>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</si>
  <si>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</si>
  <si>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</si>
  <si>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</si>
  <si>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</si>
  <si>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</si>
  <si>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</si>
  <si>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</si>
  <si>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</si>
  <si>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</si>
  <si>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</si>
  <si>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</si>
  <si>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</si>
  <si>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</si>
  <si>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</si>
  <si>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</si>
  <si>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</si>
  <si>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</si>
  <si>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</si>
  <si>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</si>
  <si>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</si>
  <si>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</si>
  <si>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</si>
  <si>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</si>
  <si>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</si>
  <si>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</si>
  <si>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</si>
  <si>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</si>
  <si>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</si>
  <si>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</si>
  <si>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</si>
  <si>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</si>
  <si>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</si>
  <si>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</si>
  <si>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</si>
  <si>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</si>
  <si>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</si>
  <si>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</si>
  <si>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</si>
  <si>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</si>
  <si>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</si>
  <si>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</si>
  <si>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</si>
  <si>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</si>
  <si>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</si>
  <si>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</si>
  <si>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</si>
  <si>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</si>
  <si>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</si>
  <si>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</si>
  <si>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</si>
  <si>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</si>
  <si>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</si>
  <si>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</si>
  <si>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</si>
  <si>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</si>
  <si>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</si>
  <si>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</si>
  <si>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</si>
  <si>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</si>
  <si>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</si>
  <si>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</si>
  <si>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</si>
  <si>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</si>
  <si>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</si>
  <si>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</si>
  <si>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</si>
  <si>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</si>
  <si>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</si>
  <si>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</si>
  <si>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</si>
  <si>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</si>
  <si>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</si>
  <si>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</si>
  <si>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</si>
  <si>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</si>
  <si>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</si>
  <si>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</si>
  <si>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</si>
  <si>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</si>
  <si>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</si>
  <si>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</si>
  <si>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</si>
  <si>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</si>
  <si>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</si>
  <si>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</si>
  <si>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</si>
  <si>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</si>
  <si>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</si>
  <si>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</si>
  <si>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</si>
  <si>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</si>
  <si>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</si>
  <si>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</si>
  <si>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</si>
  <si>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</si>
  <si>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</si>
  <si>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</si>
  <si>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</si>
  <si>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</si>
  <si>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</si>
  <si>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</si>
  <si>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</si>
  <si>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</si>
  <si>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</si>
  <si>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</si>
  <si>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</si>
  <si>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</si>
  <si>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</si>
  <si>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</si>
  <si>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</si>
  <si>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</si>
  <si>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</si>
  <si>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</si>
  <si>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</si>
  <si>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</si>
  <si>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</si>
  <si>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</si>
  <si>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</si>
  <si>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</si>
  <si>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</si>
  <si>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</si>
  <si>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</si>
  <si>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</si>
  <si>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</si>
  <si>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</si>
  <si>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</si>
  <si>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</si>
  <si>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</si>
  <si>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</si>
  <si>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</si>
  <si>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</si>
  <si>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</si>
  <si>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</si>
  <si>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</si>
  <si>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</si>
  <si>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</si>
  <si>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</si>
  <si>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</si>
  <si>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</si>
  <si>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</si>
  <si>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</si>
  <si>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</si>
  <si>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</si>
  <si>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</si>
  <si>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</si>
  <si>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</si>
  <si>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</si>
  <si>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</si>
  <si>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</si>
  <si>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</si>
  <si>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</si>
  <si>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</si>
  <si>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</si>
  <si>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</si>
  <si>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</si>
  <si>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</si>
  <si>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</si>
  <si>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</si>
  <si>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</si>
  <si>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</si>
  <si>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</si>
  <si>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</si>
  <si>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</si>
  <si>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</si>
  <si>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</si>
  <si>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</si>
  <si>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</si>
  <si>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</si>
  <si>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</si>
  <si>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</si>
  <si>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</si>
  <si>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</si>
  <si>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</si>
  <si>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</si>
  <si>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</si>
  <si>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</si>
  <si>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</si>
  <si>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</si>
  <si>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</si>
  <si>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</si>
  <si>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</si>
  <si>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</si>
  <si>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</si>
  <si>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</si>
  <si>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</si>
  <si>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</si>
  <si>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</si>
  <si>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</si>
  <si>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</si>
  <si>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</si>
  <si>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</si>
  <si>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</si>
  <si>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</si>
  <si>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</si>
  <si>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</si>
  <si>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</si>
  <si>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</si>
  <si>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</si>
  <si>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</si>
  <si>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</si>
  <si>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</si>
  <si>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</si>
  <si>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</si>
  <si>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</si>
  <si>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</si>
  <si>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</si>
  <si>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</si>
  <si>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</si>
  <si>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</si>
  <si>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</si>
  <si>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</si>
  <si>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</si>
  <si>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</si>
  <si>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</si>
  <si>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</si>
  <si>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</si>
  <si>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</si>
  <si>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</si>
  <si>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</si>
  <si>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</si>
  <si>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</si>
  <si>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</si>
  <si>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</si>
  <si>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</si>
  <si>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</si>
  <si>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</si>
  <si>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</si>
  <si>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</si>
  <si>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</si>
  <si>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</si>
  <si>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</si>
  <si>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</si>
  <si>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</si>
  <si>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</si>
  <si>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</si>
  <si>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</si>
  <si>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</si>
  <si>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</si>
  <si>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</si>
  <si>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</si>
  <si>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</si>
  <si>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</si>
  <si>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</si>
  <si>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</si>
  <si>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</si>
  <si>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</si>
  <si>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</si>
  <si>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</si>
  <si>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</si>
  <si>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</si>
  <si>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</si>
  <si>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</si>
  <si>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</si>
  <si>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</si>
  <si>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</si>
  <si>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</si>
  <si>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</si>
  <si>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</si>
  <si>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</si>
  <si>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</si>
  <si>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</si>
  <si>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</si>
  <si>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</si>
  <si>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</si>
  <si>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</si>
  <si>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</si>
  <si>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</si>
  <si>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</si>
  <si>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</si>
  <si>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</si>
  <si>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</si>
  <si>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</si>
  <si>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</si>
  <si>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</si>
  <si>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</si>
  <si>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</si>
  <si>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</si>
  <si>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</si>
  <si>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</si>
  <si>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</si>
  <si>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</si>
  <si>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</si>
  <si>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</si>
  <si>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</si>
  <si>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</si>
  <si>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</si>
  <si>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</si>
  <si>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</si>
  <si>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</si>
  <si>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</si>
  <si>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</si>
  <si>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</si>
  <si>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</si>
  <si>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</si>
  <si>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</si>
  <si>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</si>
  <si>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</si>
  <si>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</si>
  <si>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</si>
  <si>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</si>
  <si>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</si>
  <si>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</si>
  <si>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</si>
  <si>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</si>
  <si>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</si>
  <si>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</si>
  <si>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</si>
  <si>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</si>
  <si>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</si>
  <si>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</si>
  <si>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</si>
  <si>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</si>
  <si>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</si>
  <si>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</si>
  <si>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</si>
  <si>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</si>
  <si>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</si>
  <si>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</si>
  <si>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</si>
  <si>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</si>
  <si>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</si>
  <si>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</si>
  <si>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</si>
  <si>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</si>
  <si>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</si>
  <si>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</si>
  <si>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</si>
  <si>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</si>
  <si>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</si>
  <si>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</si>
  <si>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</si>
  <si>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</si>
  <si>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</si>
  <si>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</si>
  <si>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</si>
  <si>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</si>
  <si>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</si>
  <si>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</si>
  <si>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</si>
  <si>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</si>
  <si>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</si>
  <si>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</si>
  <si>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</si>
  <si>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</si>
  <si>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</si>
  <si>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</si>
  <si>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</si>
  <si>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</si>
  <si>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</si>
  <si>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</si>
  <si>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</si>
  <si>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</si>
  <si>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</si>
  <si>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</si>
  <si>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</si>
  <si>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</si>
  <si>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</si>
  <si>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</si>
  <si>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Count of TX ID</t>
  </si>
  <si>
    <t>Sum of Quantity</t>
  </si>
  <si>
    <t>Sum of Amount</t>
  </si>
  <si>
    <t>Average of Rating C</t>
  </si>
  <si>
    <t>Average of Days to Deliver</t>
  </si>
  <si>
    <t>Values for Display</t>
  </si>
  <si>
    <t>Qty</t>
  </si>
  <si>
    <t>Avg Rating</t>
  </si>
  <si>
    <t>Avg Days</t>
  </si>
  <si>
    <t>Row Labels</t>
  </si>
  <si>
    <t>Grand Total</t>
  </si>
  <si>
    <t>Column Labels</t>
  </si>
  <si>
    <t>Female</t>
  </si>
  <si>
    <t>Male</t>
  </si>
  <si>
    <t>Other</t>
  </si>
  <si>
    <t>Unknown</t>
  </si>
  <si>
    <t>For matrix</t>
  </si>
  <si>
    <t>6 - 10</t>
  </si>
  <si>
    <t>11 +</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</si>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</sst>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45C]#,##0"/>
    <numFmt numFmtId="166" formatCode="0.0%"/>
  </numFmts>
  <fonts count="3">
    <font>
      <sz val="11"/>
      <color theme="1"/>
      <name val="Aptos Narrow"/>
      <family val="2"/>
      <scheme val="minor"/>
    </font>
    <font>
      <b/>
      <sz val="11"/>
      <color theme="1"/>
      <name val="Aptos Narrow"/>
      <family val="2"/>
      <scheme val="minor"/>
    </font>
    <font>
      <b/>
      <sz val="10"/>
      <color theme="1"/>
      <name val="Aptos Narrow"/>
      <family val="2"/>
      <scheme val="minor"/>
    </font>
  </fonts>
  <fills count="3">
    <fill>
      <patternFill patternType="none"/>
    </fill>
    <fill>
      <patternFill patternType="gray125"/>
    </fill>
    <fill>
      <patternFill patternType="solid">
        <fgColor theme="9"/>
        <bgColor indexed="64"/>
      </patternFill>
    </fill>
  </fills>
  <borders count="3">
    <border>
      <left/>
      <right/>
      <top/>
      <bottom/>
      <diagonal/>
    </border>
    <border>
      <left/>
      <right/>
      <top/>
      <bottom style="thin">
        <color theme="4" tint="0.39997558519241921"/>
      </bottom>
      <diagonal/>
    </border>
    <border>
      <left style="double">
        <color theme="0" tint="-4.9989318521683403E-2"/>
      </left>
      <right style="double">
        <color theme="0" tint="-4.9989318521683403E-2"/>
      </right>
      <top style="double">
        <color theme="0" tint="-4.9989318521683403E-2"/>
      </top>
      <bottom style="double">
        <color theme="0" tint="-4.9989318521683403E-2"/>
      </bottom>
      <diagonal/>
    </border>
  </borders>
  <cellStyleXfs count="1">
    <xf numFmtId="0" fontId="0" fillId="0" borderId="0"/>
  </cellStyleXfs>
  <cellXfs count="14">
    <xf numFmtId="0" fontId="0" fillId="0" borderId="0" xfId="0"/>
    <xf numFmtId="15" fontId="0" fillId="0" borderId="0" xfId="0" applyNumberFormat="1"/>
    <xf numFmtId="0" fontId="0" fillId="2" borderId="0" xfId="0" applyFill="1"/>
    <xf numFmtId="0" fontId="0" fillId="0" borderId="0" xfId="0" applyNumberFormat="1"/>
    <xf numFmtId="0" fontId="2" fillId="0" borderId="0" xfId="0"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0" xfId="0" applyAlignment="1">
      <alignment horizontal="center" vertical="center"/>
    </xf>
    <xf numFmtId="0" fontId="0" fillId="0" borderId="0" xfId="0" applyAlignment="1">
      <alignment horizontal="left" vertical="center"/>
    </xf>
    <xf numFmtId="166" fontId="0" fillId="0" borderId="2" xfId="0" applyNumberFormat="1" applyBorder="1" applyAlignment="1">
      <alignment horizontal="center" vertical="center"/>
    </xf>
    <xf numFmtId="0" fontId="1" fillId="0" borderId="0" xfId="0" applyFont="1"/>
    <xf numFmtId="0" fontId="1" fillId="0" borderId="1" xfId="0" applyFont="1" applyBorder="1"/>
  </cellXfs>
  <cellStyles count="1">
    <cellStyle name="Normal" xfId="0" builtinId="0"/>
  </cellStyles>
  <dxfs count="8">
    <dxf>
      <font>
        <b/>
        <color theme="1"/>
      </font>
      <border>
        <bottom style="thin">
          <color theme="8"/>
        </bottom>
        <vertical/>
        <horizontal/>
      </border>
    </dxf>
    <dxf>
      <font>
        <color theme="1"/>
      </font>
      <fill>
        <patternFill>
          <bgColor theme="8" tint="-0.499984740745262"/>
        </patternFill>
      </fill>
      <border>
        <left style="thin">
          <color theme="8"/>
        </left>
        <right style="thin">
          <color theme="8"/>
        </right>
        <top style="thin">
          <color theme="8"/>
        </top>
        <bottom style="thin">
          <color theme="8"/>
        </bottom>
        <vertical/>
        <horizontal/>
      </border>
    </dxf>
    <dxf>
      <fill>
        <patternFill>
          <bgColor theme="8" tint="-0.24994659260841701"/>
        </patternFill>
      </fill>
    </dxf>
    <dxf>
      <numFmt numFmtId="0" formatCode="General"/>
    </dxf>
    <dxf>
      <numFmt numFmtId="0" formatCode="General"/>
    </dxf>
    <dxf>
      <numFmt numFmtId="0" formatCode="General"/>
    </dxf>
    <dxf>
      <numFmt numFmtId="164" formatCode="d\-mmm\-yy"/>
    </dxf>
    <dxf>
      <numFmt numFmtId="164" formatCode="d\-mmm\-yy"/>
    </dxf>
  </dxfs>
  <tableStyles count="2" defaultTableStyle="TableStyleMedium2" defaultPivotStyle="PivotStyleLight16">
    <tableStyle name="Slicer Style 1" pivot="0" table="0" count="1" xr9:uid="{589E356B-18FE-4162-A6C8-BB9B65AAF72D}">
      <tableStyleElement type="wholeTable" dxfId="2"/>
    </tableStyle>
    <tableStyle name="SlicerStyleDark5 2" pivot="0" table="0" count="10" xr9:uid="{C1D50446-E386-48C9-9747-3D6D7FD7549C}">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8"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Qty</a:t>
            </a:r>
            <a:r>
              <a:rPr lang="en-IN" b="1" baseline="0">
                <a:solidFill>
                  <a:schemeClr val="tx1"/>
                </a:solidFill>
              </a:rPr>
              <a:t> &amp; Amount Trends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50000"/>
              </a:schemeClr>
            </a:solidFill>
            <a:round/>
          </a:ln>
          <a:effectLst/>
        </c:spPr>
        <c:marker>
          <c:symbol val="circle"/>
          <c:size val="5"/>
          <c:spPr>
            <a:solidFill>
              <a:schemeClr val="accent1"/>
            </a:solidFill>
            <a:ln w="9525">
              <a:solidFill>
                <a:schemeClr val="accent1">
                  <a:lumMod val="50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90000"/>
                <a:lumOff val="1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Sum of Quantity</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lumMod val="50000"/>
                  </a:schemeClr>
                </a:solidFill>
              </a:ln>
              <a:effectLst/>
            </c:spPr>
          </c:marker>
          <c:cat>
            <c:strRef>
              <c:f>Sheet1!$A$9:$A$16</c:f>
              <c:strCache>
                <c:ptCount val="7"/>
                <c:pt idx="0">
                  <c:v>3</c:v>
                </c:pt>
                <c:pt idx="1">
                  <c:v>4</c:v>
                </c:pt>
                <c:pt idx="2">
                  <c:v>8</c:v>
                </c:pt>
                <c:pt idx="3">
                  <c:v>9</c:v>
                </c:pt>
                <c:pt idx="4">
                  <c:v>10</c:v>
                </c:pt>
                <c:pt idx="5">
                  <c:v>12</c:v>
                </c:pt>
                <c:pt idx="6">
                  <c:v>13</c:v>
                </c:pt>
              </c:strCache>
            </c:strRef>
          </c:cat>
          <c:val>
            <c:numRef>
              <c:f>Sheet1!$B$9:$B$16</c:f>
              <c:numCache>
                <c:formatCode>General</c:formatCode>
                <c:ptCount val="7"/>
                <c:pt idx="0">
                  <c:v>3</c:v>
                </c:pt>
                <c:pt idx="1">
                  <c:v>23</c:v>
                </c:pt>
                <c:pt idx="2">
                  <c:v>4</c:v>
                </c:pt>
                <c:pt idx="3">
                  <c:v>1</c:v>
                </c:pt>
                <c:pt idx="4">
                  <c:v>3</c:v>
                </c:pt>
                <c:pt idx="5">
                  <c:v>3</c:v>
                </c:pt>
                <c:pt idx="6">
                  <c:v>3</c:v>
                </c:pt>
              </c:numCache>
            </c:numRef>
          </c:val>
          <c:smooth val="0"/>
          <c:extLst>
            <c:ext xmlns:c16="http://schemas.microsoft.com/office/drawing/2014/chart" uri="{C3380CC4-5D6E-409C-BE32-E72D297353CC}">
              <c16:uniqueId val="{00000000-FB64-40CA-AB25-16CB0E9FA9B9}"/>
            </c:ext>
          </c:extLst>
        </c:ser>
        <c:dLbls>
          <c:showLegendKey val="0"/>
          <c:showVal val="0"/>
          <c:showCatName val="0"/>
          <c:showSerName val="0"/>
          <c:showPercent val="0"/>
          <c:showBubbleSize val="0"/>
        </c:dLbls>
        <c:marker val="1"/>
        <c:smooth val="0"/>
        <c:axId val="865977599"/>
        <c:axId val="865978079"/>
      </c:lineChart>
      <c:lineChart>
        <c:grouping val="standard"/>
        <c:varyColors val="0"/>
        <c:ser>
          <c:idx val="1"/>
          <c:order val="1"/>
          <c:tx>
            <c:strRef>
              <c:f>Sheet1!$C$8</c:f>
              <c:strCache>
                <c:ptCount val="1"/>
                <c:pt idx="0">
                  <c:v>Sum of Amount</c:v>
                </c:pt>
              </c:strCache>
            </c:strRef>
          </c:tx>
          <c:spPr>
            <a:ln w="28575" cap="rnd">
              <a:solidFill>
                <a:schemeClr val="tx2">
                  <a:lumMod val="90000"/>
                  <a:lumOff val="10000"/>
                </a:schemeClr>
              </a:solidFill>
              <a:round/>
            </a:ln>
            <a:effectLst/>
          </c:spPr>
          <c:marker>
            <c:symbol val="none"/>
          </c:marker>
          <c:cat>
            <c:strRef>
              <c:f>Sheet1!$A$9:$A$16</c:f>
              <c:strCache>
                <c:ptCount val="7"/>
                <c:pt idx="0">
                  <c:v>3</c:v>
                </c:pt>
                <c:pt idx="1">
                  <c:v>4</c:v>
                </c:pt>
                <c:pt idx="2">
                  <c:v>8</c:v>
                </c:pt>
                <c:pt idx="3">
                  <c:v>9</c:v>
                </c:pt>
                <c:pt idx="4">
                  <c:v>10</c:v>
                </c:pt>
                <c:pt idx="5">
                  <c:v>12</c:v>
                </c:pt>
                <c:pt idx="6">
                  <c:v>13</c:v>
                </c:pt>
              </c:strCache>
            </c:strRef>
          </c:cat>
          <c:val>
            <c:numRef>
              <c:f>Sheet1!$C$9:$C$16</c:f>
              <c:numCache>
                <c:formatCode>[$$-45C]#,##0</c:formatCode>
                <c:ptCount val="7"/>
                <c:pt idx="0">
                  <c:v>281.8</c:v>
                </c:pt>
                <c:pt idx="1">
                  <c:v>567.70000000000005</c:v>
                </c:pt>
                <c:pt idx="2">
                  <c:v>187.4</c:v>
                </c:pt>
                <c:pt idx="3">
                  <c:v>36.299999999999997</c:v>
                </c:pt>
                <c:pt idx="4">
                  <c:v>208.5</c:v>
                </c:pt>
                <c:pt idx="5">
                  <c:v>134.39999999999998</c:v>
                </c:pt>
                <c:pt idx="6">
                  <c:v>80.699999999999989</c:v>
                </c:pt>
              </c:numCache>
            </c:numRef>
          </c:val>
          <c:smooth val="0"/>
          <c:extLst>
            <c:ext xmlns:c16="http://schemas.microsoft.com/office/drawing/2014/chart" uri="{C3380CC4-5D6E-409C-BE32-E72D297353CC}">
              <c16:uniqueId val="{00000001-FB64-40CA-AB25-16CB0E9FA9B9}"/>
            </c:ext>
          </c:extLst>
        </c:ser>
        <c:dLbls>
          <c:showLegendKey val="0"/>
          <c:showVal val="0"/>
          <c:showCatName val="0"/>
          <c:showSerName val="0"/>
          <c:showPercent val="0"/>
          <c:showBubbleSize val="0"/>
        </c:dLbls>
        <c:marker val="1"/>
        <c:smooth val="0"/>
        <c:axId val="865983839"/>
        <c:axId val="865993439"/>
      </c:lineChart>
      <c:catAx>
        <c:axId val="86597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978079"/>
        <c:crosses val="autoZero"/>
        <c:auto val="1"/>
        <c:lblAlgn val="ctr"/>
        <c:lblOffset val="100"/>
        <c:noMultiLvlLbl val="0"/>
      </c:catAx>
      <c:valAx>
        <c:axId val="865978079"/>
        <c:scaling>
          <c:orientation val="minMax"/>
        </c:scaling>
        <c:delete val="0"/>
        <c:axPos val="l"/>
        <c:majorGridlines>
          <c:spPr>
            <a:ln w="9525" cap="flat" cmpd="sng" algn="ctr">
              <a:solidFill>
                <a:schemeClr val="tx1">
                  <a:lumMod val="95000"/>
                  <a:lumOff val="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977599"/>
        <c:crosses val="autoZero"/>
        <c:crossBetween val="between"/>
      </c:valAx>
      <c:valAx>
        <c:axId val="865993439"/>
        <c:scaling>
          <c:orientation val="minMax"/>
        </c:scaling>
        <c:delete val="0"/>
        <c:axPos val="r"/>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983839"/>
        <c:crosses val="max"/>
        <c:crossBetween val="between"/>
      </c:valAx>
      <c:catAx>
        <c:axId val="865983839"/>
        <c:scaling>
          <c:orientation val="minMax"/>
        </c:scaling>
        <c:delete val="1"/>
        <c:axPos val="b"/>
        <c:numFmt formatCode="General" sourceLinked="1"/>
        <c:majorTickMark val="out"/>
        <c:minorTickMark val="none"/>
        <c:tickLblPos val="nextTo"/>
        <c:crossAx val="86599343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Quantity</a:t>
            </a:r>
            <a:r>
              <a:rPr lang="en-IN" b="1" baseline="0">
                <a:solidFill>
                  <a:schemeClr val="tx1"/>
                </a:solidFill>
              </a:rPr>
              <a:t> Buy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Sheet1!$F$8</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Sheet1!$E$9:$E$14</c:f>
              <c:strCache>
                <c:ptCount val="5"/>
                <c:pt idx="0">
                  <c:v>1</c:v>
                </c:pt>
                <c:pt idx="1">
                  <c:v>2</c:v>
                </c:pt>
                <c:pt idx="2">
                  <c:v>3</c:v>
                </c:pt>
                <c:pt idx="3">
                  <c:v>6 - 10</c:v>
                </c:pt>
                <c:pt idx="4">
                  <c:v>11 +</c:v>
                </c:pt>
              </c:strCache>
            </c:strRef>
          </c:cat>
          <c:val>
            <c:numRef>
              <c:f>Sheet1!$F$9:$F$14</c:f>
              <c:numCache>
                <c:formatCode>General</c:formatCode>
                <c:ptCount val="5"/>
                <c:pt idx="0">
                  <c:v>3</c:v>
                </c:pt>
                <c:pt idx="1">
                  <c:v>3</c:v>
                </c:pt>
                <c:pt idx="2">
                  <c:v>3</c:v>
                </c:pt>
                <c:pt idx="3">
                  <c:v>1</c:v>
                </c:pt>
                <c:pt idx="4">
                  <c:v>1</c:v>
                </c:pt>
              </c:numCache>
            </c:numRef>
          </c:val>
          <c:extLst>
            <c:ext xmlns:c16="http://schemas.microsoft.com/office/drawing/2014/chart" uri="{C3380CC4-5D6E-409C-BE32-E72D297353CC}">
              <c16:uniqueId val="{00000000-27EE-4B2A-96FC-A81EFFEF92FC}"/>
            </c:ext>
          </c:extLst>
        </c:ser>
        <c:dLbls>
          <c:showLegendKey val="0"/>
          <c:showVal val="0"/>
          <c:showCatName val="0"/>
          <c:showSerName val="0"/>
          <c:showPercent val="0"/>
          <c:showBubbleSize val="0"/>
        </c:dLbls>
        <c:gapWidth val="150"/>
        <c:shape val="box"/>
        <c:axId val="865976159"/>
        <c:axId val="865959839"/>
        <c:axId val="0"/>
      </c:bar3DChart>
      <c:catAx>
        <c:axId val="86597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959839"/>
        <c:crosses val="autoZero"/>
        <c:auto val="1"/>
        <c:lblAlgn val="ctr"/>
        <c:lblOffset val="100"/>
        <c:noMultiLvlLbl val="0"/>
      </c:catAx>
      <c:valAx>
        <c:axId val="865959839"/>
        <c:scaling>
          <c:orientation val="minMax"/>
        </c:scaling>
        <c:delete val="1"/>
        <c:axPos val="l"/>
        <c:majorGridlines>
          <c:spPr>
            <a:ln w="6350" cap="flat" cmpd="sng" algn="ctr">
              <a:solidFill>
                <a:sysClr val="windowText" lastClr="000000"/>
              </a:solidFill>
              <a:round/>
            </a:ln>
            <a:effectLst/>
          </c:spPr>
        </c:majorGridlines>
        <c:numFmt formatCode="General" sourceLinked="1"/>
        <c:majorTickMark val="none"/>
        <c:minorTickMark val="none"/>
        <c:tickLblPos val="nextTo"/>
        <c:crossAx val="86597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[ecommerce-blank.xlsx]Sheet1!PivotTable7</c:name>
    <c:fmtId val="2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Popular</a:t>
            </a:r>
            <a:r>
              <a:rPr lang="en-IN" b="1" baseline="0"/>
              <a:t> Product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Sheet1!$F$22:$F$23</c:f>
              <c:strCache>
                <c:ptCount val="1"/>
              </c:strCache>
            </c:strRef>
          </c:tx>
          <c:spPr>
            <a:solidFill>
              <a:schemeClr val="accent6">
                <a:shade val="58000"/>
              </a:schemeClr>
            </a:solidFill>
            <a:ln>
              <a:noFill/>
            </a:ln>
            <a:effectLst/>
          </c:spPr>
          <c:invertIfNegative val="0"/>
          <c:cat>
            <c:strRef>
              <c:f>Sheet1!$E$24:$E$44</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Pajama Sets</c:v>
                </c:pt>
                <c:pt idx="15">
                  <c:v>Maxi Dresses</c:v>
                </c:pt>
                <c:pt idx="16">
                  <c:v>Tote Bags</c:v>
                </c:pt>
                <c:pt idx="17">
                  <c:v>Crop Tops</c:v>
                </c:pt>
                <c:pt idx="18">
                  <c:v>Jewelry</c:v>
                </c:pt>
                <c:pt idx="19">
                  <c:v>Baseball Caps</c:v>
                </c:pt>
              </c:strCache>
            </c:strRef>
          </c:cat>
          <c:val>
            <c:numRef>
              <c:f>Sheet1!$F$24:$F$44</c:f>
              <c:numCache>
                <c:formatCode>General</c:formatCode>
                <c:ptCount val="20"/>
                <c:pt idx="0">
                  <c:v>16</c:v>
                </c:pt>
                <c:pt idx="1">
                  <c:v>17</c:v>
                </c:pt>
                <c:pt idx="6">
                  <c:v>2</c:v>
                </c:pt>
                <c:pt idx="7">
                  <c:v>3</c:v>
                </c:pt>
                <c:pt idx="8">
                  <c:v>3</c:v>
                </c:pt>
                <c:pt idx="10">
                  <c:v>5</c:v>
                </c:pt>
                <c:pt idx="12">
                  <c:v>3</c:v>
                </c:pt>
              </c:numCache>
            </c:numRef>
          </c:val>
          <c:extLst>
            <c:ext xmlns:c16="http://schemas.microsoft.com/office/drawing/2014/chart" uri="{C3380CC4-5D6E-409C-BE32-E72D297353CC}">
              <c16:uniqueId val="{00000000-8E8A-41B9-B6EE-32EC4F5807F2}"/>
            </c:ext>
          </c:extLst>
        </c:ser>
        <c:ser>
          <c:idx val="1"/>
          <c:order val="1"/>
          <c:tx>
            <c:strRef>
              <c:f>Sheet1!$G$22:$G$23</c:f>
              <c:strCache>
                <c:ptCount val="1"/>
                <c:pt idx="0">
                  <c:v>F</c:v>
                </c:pt>
              </c:strCache>
            </c:strRef>
          </c:tx>
          <c:spPr>
            <a:solidFill>
              <a:schemeClr val="accent6">
                <a:shade val="86000"/>
              </a:schemeClr>
            </a:solidFill>
            <a:ln>
              <a:noFill/>
            </a:ln>
            <a:effectLst/>
          </c:spPr>
          <c:invertIfNegative val="0"/>
          <c:cat>
            <c:strRef>
              <c:f>Sheet1!$E$24:$E$44</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Pajama Sets</c:v>
                </c:pt>
                <c:pt idx="15">
                  <c:v>Maxi Dresses</c:v>
                </c:pt>
                <c:pt idx="16">
                  <c:v>Tote Bags</c:v>
                </c:pt>
                <c:pt idx="17">
                  <c:v>Crop Tops</c:v>
                </c:pt>
                <c:pt idx="18">
                  <c:v>Jewelry</c:v>
                </c:pt>
                <c:pt idx="19">
                  <c:v>Baseball Caps</c:v>
                </c:pt>
              </c:strCache>
            </c:strRef>
          </c:cat>
          <c:val>
            <c:numRef>
              <c:f>Sheet1!$G$24:$G$44</c:f>
              <c:numCache>
                <c:formatCode>General</c:formatCode>
                <c:ptCount val="20"/>
                <c:pt idx="0">
                  <c:v>99</c:v>
                </c:pt>
                <c:pt idx="1">
                  <c:v>86</c:v>
                </c:pt>
                <c:pt idx="2">
                  <c:v>76</c:v>
                </c:pt>
                <c:pt idx="3">
                  <c:v>52</c:v>
                </c:pt>
                <c:pt idx="4">
                  <c:v>73</c:v>
                </c:pt>
                <c:pt idx="5">
                  <c:v>56</c:v>
                </c:pt>
                <c:pt idx="6">
                  <c:v>42</c:v>
                </c:pt>
                <c:pt idx="7">
                  <c:v>24</c:v>
                </c:pt>
                <c:pt idx="8">
                  <c:v>52</c:v>
                </c:pt>
                <c:pt idx="9">
                  <c:v>49</c:v>
                </c:pt>
                <c:pt idx="10">
                  <c:v>29</c:v>
                </c:pt>
                <c:pt idx="11">
                  <c:v>20</c:v>
                </c:pt>
                <c:pt idx="12">
                  <c:v>11</c:v>
                </c:pt>
                <c:pt idx="13">
                  <c:v>33</c:v>
                </c:pt>
                <c:pt idx="14">
                  <c:v>3</c:v>
                </c:pt>
                <c:pt idx="15">
                  <c:v>32</c:v>
                </c:pt>
                <c:pt idx="16">
                  <c:v>18</c:v>
                </c:pt>
                <c:pt idx="17">
                  <c:v>17</c:v>
                </c:pt>
                <c:pt idx="18">
                  <c:v>13</c:v>
                </c:pt>
                <c:pt idx="19">
                  <c:v>4</c:v>
                </c:pt>
              </c:numCache>
            </c:numRef>
          </c:val>
          <c:extLst>
            <c:ext xmlns:c16="http://schemas.microsoft.com/office/drawing/2014/chart" uri="{C3380CC4-5D6E-409C-BE32-E72D297353CC}">
              <c16:uniqueId val="{00000001-8E8A-41B9-B6EE-32EC4F5807F2}"/>
            </c:ext>
          </c:extLst>
        </c:ser>
        <c:ser>
          <c:idx val="2"/>
          <c:order val="2"/>
          <c:tx>
            <c:strRef>
              <c:f>Sheet1!$H$22:$H$23</c:f>
              <c:strCache>
                <c:ptCount val="1"/>
                <c:pt idx="0">
                  <c:v>M</c:v>
                </c:pt>
              </c:strCache>
            </c:strRef>
          </c:tx>
          <c:spPr>
            <a:solidFill>
              <a:schemeClr val="accent6">
                <a:tint val="86000"/>
              </a:schemeClr>
            </a:solidFill>
            <a:ln>
              <a:noFill/>
            </a:ln>
            <a:effectLst/>
          </c:spPr>
          <c:invertIfNegative val="0"/>
          <c:cat>
            <c:strRef>
              <c:f>Sheet1!$E$24:$E$44</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Pajama Sets</c:v>
                </c:pt>
                <c:pt idx="15">
                  <c:v>Maxi Dresses</c:v>
                </c:pt>
                <c:pt idx="16">
                  <c:v>Tote Bags</c:v>
                </c:pt>
                <c:pt idx="17">
                  <c:v>Crop Tops</c:v>
                </c:pt>
                <c:pt idx="18">
                  <c:v>Jewelry</c:v>
                </c:pt>
                <c:pt idx="19">
                  <c:v>Baseball Caps</c:v>
                </c:pt>
              </c:strCache>
            </c:strRef>
          </c:cat>
          <c:val>
            <c:numRef>
              <c:f>Sheet1!$H$24:$H$44</c:f>
              <c:numCache>
                <c:formatCode>General</c:formatCode>
                <c:ptCount val="20"/>
                <c:pt idx="0">
                  <c:v>108</c:v>
                </c:pt>
                <c:pt idx="1">
                  <c:v>34</c:v>
                </c:pt>
                <c:pt idx="2">
                  <c:v>61</c:v>
                </c:pt>
                <c:pt idx="3">
                  <c:v>47</c:v>
                </c:pt>
                <c:pt idx="4">
                  <c:v>28</c:v>
                </c:pt>
                <c:pt idx="5">
                  <c:v>39</c:v>
                </c:pt>
                <c:pt idx="6">
                  <c:v>34</c:v>
                </c:pt>
                <c:pt idx="7">
                  <c:v>39</c:v>
                </c:pt>
                <c:pt idx="8">
                  <c:v>2</c:v>
                </c:pt>
                <c:pt idx="9">
                  <c:v>10</c:v>
                </c:pt>
                <c:pt idx="10">
                  <c:v>13</c:v>
                </c:pt>
                <c:pt idx="11">
                  <c:v>26</c:v>
                </c:pt>
                <c:pt idx="12">
                  <c:v>20</c:v>
                </c:pt>
                <c:pt idx="14">
                  <c:v>29</c:v>
                </c:pt>
                <c:pt idx="16">
                  <c:v>6</c:v>
                </c:pt>
                <c:pt idx="17">
                  <c:v>6</c:v>
                </c:pt>
                <c:pt idx="18">
                  <c:v>8</c:v>
                </c:pt>
              </c:numCache>
            </c:numRef>
          </c:val>
          <c:extLst>
            <c:ext xmlns:c16="http://schemas.microsoft.com/office/drawing/2014/chart" uri="{C3380CC4-5D6E-409C-BE32-E72D297353CC}">
              <c16:uniqueId val="{00000002-8E8A-41B9-B6EE-32EC4F5807F2}"/>
            </c:ext>
          </c:extLst>
        </c:ser>
        <c:ser>
          <c:idx val="3"/>
          <c:order val="3"/>
          <c:tx>
            <c:strRef>
              <c:f>Sheet1!$I$22:$I$23</c:f>
              <c:strCache>
                <c:ptCount val="1"/>
                <c:pt idx="0">
                  <c:v>O</c:v>
                </c:pt>
              </c:strCache>
            </c:strRef>
          </c:tx>
          <c:spPr>
            <a:solidFill>
              <a:schemeClr val="accent6">
                <a:tint val="58000"/>
              </a:schemeClr>
            </a:solidFill>
            <a:ln>
              <a:noFill/>
            </a:ln>
            <a:effectLst/>
          </c:spPr>
          <c:invertIfNegative val="0"/>
          <c:cat>
            <c:strRef>
              <c:f>Sheet1!$E$24:$E$44</c:f>
              <c:strCache>
                <c:ptCount val="20"/>
                <c:pt idx="0">
                  <c:v>Jeans</c:v>
                </c:pt>
                <c:pt idx="1">
                  <c:v>T-Shirts</c:v>
                </c:pt>
                <c:pt idx="2">
                  <c:v>Bikinis</c:v>
                </c:pt>
                <c:pt idx="3">
                  <c:v>Tank Tops</c:v>
                </c:pt>
                <c:pt idx="4">
                  <c:v>Shorts</c:v>
                </c:pt>
                <c:pt idx="5">
                  <c:v>Sneakers</c:v>
                </c:pt>
                <c:pt idx="6">
                  <c:v>Sundresses</c:v>
                </c:pt>
                <c:pt idx="7">
                  <c:v>Sandals</c:v>
                </c:pt>
                <c:pt idx="8">
                  <c:v>Casual Dresses</c:v>
                </c:pt>
                <c:pt idx="9">
                  <c:v>Graphic Tees</c:v>
                </c:pt>
                <c:pt idx="10">
                  <c:v>Hoodies &amp; Sweatshirts</c:v>
                </c:pt>
                <c:pt idx="11">
                  <c:v>Leggings</c:v>
                </c:pt>
                <c:pt idx="12">
                  <c:v>Workout Tops</c:v>
                </c:pt>
                <c:pt idx="13">
                  <c:v>Sunglasses</c:v>
                </c:pt>
                <c:pt idx="14">
                  <c:v>Pajama Sets</c:v>
                </c:pt>
                <c:pt idx="15">
                  <c:v>Maxi Dresses</c:v>
                </c:pt>
                <c:pt idx="16">
                  <c:v>Tote Bags</c:v>
                </c:pt>
                <c:pt idx="17">
                  <c:v>Crop Tops</c:v>
                </c:pt>
                <c:pt idx="18">
                  <c:v>Jewelry</c:v>
                </c:pt>
                <c:pt idx="19">
                  <c:v>Baseball Caps</c:v>
                </c:pt>
              </c:strCache>
            </c:strRef>
          </c:cat>
          <c:val>
            <c:numRef>
              <c:f>Sheet1!$I$24:$I$44</c:f>
              <c:numCache>
                <c:formatCode>General</c:formatCode>
                <c:ptCount val="20"/>
                <c:pt idx="1">
                  <c:v>23</c:v>
                </c:pt>
                <c:pt idx="3">
                  <c:v>3</c:v>
                </c:pt>
                <c:pt idx="6">
                  <c:v>5</c:v>
                </c:pt>
                <c:pt idx="7">
                  <c:v>1</c:v>
                </c:pt>
                <c:pt idx="8">
                  <c:v>6</c:v>
                </c:pt>
                <c:pt idx="9">
                  <c:v>2</c:v>
                </c:pt>
              </c:numCache>
            </c:numRef>
          </c:val>
          <c:extLst>
            <c:ext xmlns:c16="http://schemas.microsoft.com/office/drawing/2014/chart" uri="{C3380CC4-5D6E-409C-BE32-E72D297353CC}">
              <c16:uniqueId val="{00000003-8E8A-41B9-B6EE-32EC4F5807F2}"/>
            </c:ext>
          </c:extLst>
        </c:ser>
        <c:dLbls>
          <c:showLegendKey val="0"/>
          <c:showVal val="0"/>
          <c:showCatName val="0"/>
          <c:showSerName val="0"/>
          <c:showPercent val="0"/>
          <c:showBubbleSize val="0"/>
        </c:dLbls>
        <c:gapWidth val="150"/>
        <c:overlap val="100"/>
        <c:axId val="866001119"/>
        <c:axId val="866003039"/>
      </c:barChart>
      <c:catAx>
        <c:axId val="8660011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6003039"/>
        <c:crosses val="autoZero"/>
        <c:auto val="1"/>
        <c:lblAlgn val="ctr"/>
        <c:lblOffset val="100"/>
        <c:noMultiLvlLbl val="0"/>
      </c:catAx>
      <c:valAx>
        <c:axId val="866003039"/>
        <c:scaling>
          <c:orientation val="minMax"/>
        </c:scaling>
        <c:delete val="0"/>
        <c:axPos val="t"/>
        <c:majorGridlines>
          <c:spPr>
            <a:ln w="9525" cap="flat" cmpd="sng" algn="ctr">
              <a:solidFill>
                <a:schemeClr val="tx1">
                  <a:lumMod val="95000"/>
                  <a:lumOff val="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6001119"/>
        <c:crosses val="autoZero"/>
        <c:crossBetween val="between"/>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[ecommerce-blank.xlsx]Sheet1!PivotTable8</c:name>
    <c:fmtId val="37"/>
  </c:pivotSource>
  <c:chart>
    <c:autoTitleDeleted val="1"/>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Sheet1!$C$51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E74-49F8-9AA2-DF95CDE6ECD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E74-49F8-9AA2-DF95CDE6ECD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E74-49F8-9AA2-DF95CDE6ECD4}"/>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E74-49F8-9AA2-DF95CDE6ECD4}"/>
              </c:ext>
            </c:extLst>
          </c:dPt>
          <c:cat>
            <c:strRef>
              <c:f>Sheet1!$B$52:$B$56</c:f>
              <c:strCache>
                <c:ptCount val="4"/>
                <c:pt idx="0">
                  <c:v>Female</c:v>
                </c:pt>
                <c:pt idx="1">
                  <c:v>Male</c:v>
                </c:pt>
                <c:pt idx="2">
                  <c:v>Other</c:v>
                </c:pt>
                <c:pt idx="3">
                  <c:v>Unknown</c:v>
                </c:pt>
              </c:strCache>
            </c:strRef>
          </c:cat>
          <c:val>
            <c:numRef>
              <c:f>Sheet1!$C$52:$C$56</c:f>
              <c:numCache>
                <c:formatCode>General</c:formatCode>
                <c:ptCount val="4"/>
                <c:pt idx="0">
                  <c:v>789</c:v>
                </c:pt>
                <c:pt idx="1">
                  <c:v>510</c:v>
                </c:pt>
                <c:pt idx="2">
                  <c:v>40</c:v>
                </c:pt>
                <c:pt idx="3">
                  <c:v>49</c:v>
                </c:pt>
              </c:numCache>
            </c:numRef>
          </c:val>
          <c:extLst>
            <c:ext xmlns:c16="http://schemas.microsoft.com/office/drawing/2014/chart" uri="{C3380CC4-5D6E-409C-BE32-E72D297353CC}">
              <c16:uniqueId val="{00000008-3E74-49F8-9AA2-DF95CDE6ECD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965488393211399"/>
          <c:y val="0.21874803149606301"/>
          <c:w val="0.34848670454835273"/>
          <c:h val="0.55417060367454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[ecommerce-blank.xlsx]Sheet3!PivotTable10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Days</a:t>
            </a:r>
            <a:r>
              <a:rPr lang="en-US" b="1" baseline="0">
                <a:solidFill>
                  <a:schemeClr val="tx1"/>
                </a:solidFill>
              </a:rPr>
              <a:t> to Deliver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1</c:v>
                </c:pt>
                <c:pt idx="1">
                  <c:v>2</c:v>
                </c:pt>
                <c:pt idx="2">
                  <c:v>3</c:v>
                </c:pt>
                <c:pt idx="3">
                  <c:v>5</c:v>
                </c:pt>
              </c:strCache>
            </c:strRef>
          </c:cat>
          <c:val>
            <c:numRef>
              <c:f>Sheet3!$B$4:$B$8</c:f>
              <c:numCache>
                <c:formatCode>General</c:formatCode>
                <c:ptCount val="4"/>
                <c:pt idx="0">
                  <c:v>5</c:v>
                </c:pt>
                <c:pt idx="1">
                  <c:v>4</c:v>
                </c:pt>
                <c:pt idx="2">
                  <c:v>1</c:v>
                </c:pt>
                <c:pt idx="3">
                  <c:v>1</c:v>
                </c:pt>
              </c:numCache>
            </c:numRef>
          </c:val>
          <c:extLst>
            <c:ext xmlns:c16="http://schemas.microsoft.com/office/drawing/2014/chart" uri="{C3380CC4-5D6E-409C-BE32-E72D297353CC}">
              <c16:uniqueId val="{00000000-946A-44EB-B705-F84578C3A129}"/>
            </c:ext>
          </c:extLst>
        </c:ser>
        <c:dLbls>
          <c:showLegendKey val="0"/>
          <c:showVal val="1"/>
          <c:showCatName val="0"/>
          <c:showSerName val="0"/>
          <c:showPercent val="0"/>
          <c:showBubbleSize val="0"/>
        </c:dLbls>
        <c:gapWidth val="150"/>
        <c:shape val="box"/>
        <c:axId val="865977119"/>
        <c:axId val="865960799"/>
        <c:axId val="0"/>
      </c:bar3DChart>
      <c:catAx>
        <c:axId val="865977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960799"/>
        <c:crosses val="autoZero"/>
        <c:auto val="1"/>
        <c:lblAlgn val="ctr"/>
        <c:lblOffset val="100"/>
        <c:noMultiLvlLbl val="0"/>
      </c:catAx>
      <c:valAx>
        <c:axId val="865960799"/>
        <c:scaling>
          <c:orientation val="minMax"/>
        </c:scaling>
        <c:delete val="1"/>
        <c:axPos val="l"/>
        <c:majorGridlines>
          <c:spPr>
            <a:ln w="9525" cap="flat" cmpd="sng" algn="ctr">
              <a:solidFill>
                <a:schemeClr val="tx1">
                  <a:lumMod val="95000"/>
                  <a:lumOff val="5000"/>
                </a:schemeClr>
              </a:solidFill>
              <a:round/>
            </a:ln>
            <a:effectLst/>
          </c:spPr>
        </c:majorGridlines>
        <c:numFmt formatCode="General" sourceLinked="1"/>
        <c:majorTickMark val="none"/>
        <c:minorTickMark val="none"/>
        <c:tickLblPos val="nextTo"/>
        <c:crossAx val="86597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[ecommerce-blank.xlsx]Sheet3!PivotTable11</c:name>
    <c:fmtId val="3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Customer</a:t>
            </a:r>
            <a:r>
              <a:rPr lang="en-IN" b="1" baseline="0">
                <a:solidFill>
                  <a:schemeClr val="tx1"/>
                </a:solidFill>
              </a:rPr>
              <a:t> Ratings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Sheet3!$G$5:$G$6</c:f>
              <c:strCache>
                <c:ptCount val="1"/>
                <c:pt idx="0">
                  <c:v>1</c:v>
                </c:pt>
              </c:strCache>
            </c:strRef>
          </c:tx>
          <c:spPr>
            <a:solidFill>
              <a:schemeClr val="accent6"/>
            </a:solidFill>
            <a:ln>
              <a:noFill/>
            </a:ln>
            <a:effectLst/>
          </c:spPr>
          <c:invertIfNegative val="0"/>
          <c:cat>
            <c:strRef>
              <c:f>Sheet3!$F$7:$F$10</c:f>
              <c:strCache>
                <c:ptCount val="3"/>
                <c:pt idx="0">
                  <c:v>Jan</c:v>
                </c:pt>
                <c:pt idx="1">
                  <c:v>Feb</c:v>
                </c:pt>
                <c:pt idx="2">
                  <c:v>Mar</c:v>
                </c:pt>
              </c:strCache>
            </c:strRef>
          </c:cat>
          <c:val>
            <c:numRef>
              <c:f>Sheet3!$G$7:$G$10</c:f>
              <c:numCache>
                <c:formatCode>General</c:formatCode>
                <c:ptCount val="3"/>
                <c:pt idx="0">
                  <c:v>1</c:v>
                </c:pt>
              </c:numCache>
            </c:numRef>
          </c:val>
          <c:extLst>
            <c:ext xmlns:c16="http://schemas.microsoft.com/office/drawing/2014/chart" uri="{C3380CC4-5D6E-409C-BE32-E72D297353CC}">
              <c16:uniqueId val="{00000000-EBA4-463B-93E7-67F26939BBB0}"/>
            </c:ext>
          </c:extLst>
        </c:ser>
        <c:ser>
          <c:idx val="1"/>
          <c:order val="1"/>
          <c:tx>
            <c:strRef>
              <c:f>Sheet3!$H$5:$H$6</c:f>
              <c:strCache>
                <c:ptCount val="1"/>
                <c:pt idx="0">
                  <c:v>2</c:v>
                </c:pt>
              </c:strCache>
            </c:strRef>
          </c:tx>
          <c:spPr>
            <a:solidFill>
              <a:schemeClr val="accent5"/>
            </a:solidFill>
            <a:ln>
              <a:noFill/>
            </a:ln>
            <a:effectLst/>
          </c:spPr>
          <c:invertIfNegative val="0"/>
          <c:cat>
            <c:strRef>
              <c:f>Sheet3!$F$7:$F$10</c:f>
              <c:strCache>
                <c:ptCount val="3"/>
                <c:pt idx="0">
                  <c:v>Jan</c:v>
                </c:pt>
                <c:pt idx="1">
                  <c:v>Feb</c:v>
                </c:pt>
                <c:pt idx="2">
                  <c:v>Mar</c:v>
                </c:pt>
              </c:strCache>
            </c:strRef>
          </c:cat>
          <c:val>
            <c:numRef>
              <c:f>Sheet3!$H$7:$H$10</c:f>
              <c:numCache>
                <c:formatCode>General</c:formatCode>
                <c:ptCount val="3"/>
                <c:pt idx="0">
                  <c:v>1</c:v>
                </c:pt>
              </c:numCache>
            </c:numRef>
          </c:val>
          <c:extLst>
            <c:ext xmlns:c16="http://schemas.microsoft.com/office/drawing/2014/chart" uri="{C3380CC4-5D6E-409C-BE32-E72D297353CC}">
              <c16:uniqueId val="{00000001-EBA4-463B-93E7-67F26939BBB0}"/>
            </c:ext>
          </c:extLst>
        </c:ser>
        <c:ser>
          <c:idx val="2"/>
          <c:order val="2"/>
          <c:tx>
            <c:strRef>
              <c:f>Sheet3!$I$5:$I$6</c:f>
              <c:strCache>
                <c:ptCount val="1"/>
                <c:pt idx="0">
                  <c:v>3</c:v>
                </c:pt>
              </c:strCache>
            </c:strRef>
          </c:tx>
          <c:spPr>
            <a:solidFill>
              <a:schemeClr val="accent4"/>
            </a:solidFill>
            <a:ln>
              <a:noFill/>
            </a:ln>
            <a:effectLst/>
          </c:spPr>
          <c:invertIfNegative val="0"/>
          <c:cat>
            <c:strRef>
              <c:f>Sheet3!$F$7:$F$10</c:f>
              <c:strCache>
                <c:ptCount val="3"/>
                <c:pt idx="0">
                  <c:v>Jan</c:v>
                </c:pt>
                <c:pt idx="1">
                  <c:v>Feb</c:v>
                </c:pt>
                <c:pt idx="2">
                  <c:v>Mar</c:v>
                </c:pt>
              </c:strCache>
            </c:strRef>
          </c:cat>
          <c:val>
            <c:numRef>
              <c:f>Sheet3!$I$7:$I$10</c:f>
              <c:numCache>
                <c:formatCode>General</c:formatCode>
                <c:ptCount val="3"/>
                <c:pt idx="0">
                  <c:v>2</c:v>
                </c:pt>
                <c:pt idx="1">
                  <c:v>1</c:v>
                </c:pt>
                <c:pt idx="2">
                  <c:v>1</c:v>
                </c:pt>
              </c:numCache>
            </c:numRef>
          </c:val>
          <c:extLst>
            <c:ext xmlns:c16="http://schemas.microsoft.com/office/drawing/2014/chart" uri="{C3380CC4-5D6E-409C-BE32-E72D297353CC}">
              <c16:uniqueId val="{00000002-EBA4-463B-93E7-67F26939BBB0}"/>
            </c:ext>
          </c:extLst>
        </c:ser>
        <c:ser>
          <c:idx val="3"/>
          <c:order val="3"/>
          <c:tx>
            <c:strRef>
              <c:f>Sheet3!$J$5:$J$6</c:f>
              <c:strCache>
                <c:ptCount val="1"/>
                <c:pt idx="0">
                  <c:v>4</c:v>
                </c:pt>
              </c:strCache>
            </c:strRef>
          </c:tx>
          <c:spPr>
            <a:solidFill>
              <a:schemeClr val="accent6">
                <a:lumMod val="60000"/>
              </a:schemeClr>
            </a:solidFill>
            <a:ln>
              <a:noFill/>
            </a:ln>
            <a:effectLst/>
          </c:spPr>
          <c:invertIfNegative val="0"/>
          <c:cat>
            <c:strRef>
              <c:f>Sheet3!$F$7:$F$10</c:f>
              <c:strCache>
                <c:ptCount val="3"/>
                <c:pt idx="0">
                  <c:v>Jan</c:v>
                </c:pt>
                <c:pt idx="1">
                  <c:v>Feb</c:v>
                </c:pt>
                <c:pt idx="2">
                  <c:v>Mar</c:v>
                </c:pt>
              </c:strCache>
            </c:strRef>
          </c:cat>
          <c:val>
            <c:numRef>
              <c:f>Sheet3!$J$7:$J$10</c:f>
              <c:numCache>
                <c:formatCode>General</c:formatCode>
                <c:ptCount val="3"/>
                <c:pt idx="0">
                  <c:v>1</c:v>
                </c:pt>
                <c:pt idx="1">
                  <c:v>2</c:v>
                </c:pt>
                <c:pt idx="2">
                  <c:v>2</c:v>
                </c:pt>
              </c:numCache>
            </c:numRef>
          </c:val>
          <c:extLst>
            <c:ext xmlns:c16="http://schemas.microsoft.com/office/drawing/2014/chart" uri="{C3380CC4-5D6E-409C-BE32-E72D297353CC}">
              <c16:uniqueId val="{0000000B-EBA4-463B-93E7-67F26939BBB0}"/>
            </c:ext>
          </c:extLst>
        </c:ser>
        <c:dLbls>
          <c:showLegendKey val="0"/>
          <c:showVal val="0"/>
          <c:showCatName val="0"/>
          <c:showSerName val="0"/>
          <c:showPercent val="0"/>
          <c:showBubbleSize val="0"/>
        </c:dLbls>
        <c:gapWidth val="219"/>
        <c:overlap val="-27"/>
        <c:axId val="1032412479"/>
        <c:axId val="1032410559"/>
      </c:barChart>
      <c:catAx>
        <c:axId val="103241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2410559"/>
        <c:crosses val="autoZero"/>
        <c:auto val="1"/>
        <c:lblAlgn val="ctr"/>
        <c:lblOffset val="100"/>
        <c:noMultiLvlLbl val="0"/>
      </c:catAx>
      <c:valAx>
        <c:axId val="1032410559"/>
        <c:scaling>
          <c:orientation val="minMax"/>
        </c:scaling>
        <c:delete val="0"/>
        <c:axPos val="l"/>
        <c:majorGridlines>
          <c:spPr>
            <a:ln w="9525" cap="flat" cmpd="sng" algn="ctr">
              <a:solidFill>
                <a:schemeClr val="tx1">
                  <a:lumMod val="95000"/>
                  <a:lumOff val="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241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ysClr val="windowText" lastClr="000000"/>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Customer Location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Customer Location</a:t>
          </a:r>
        </a:p>
      </cx:txPr>
    </cx:title>
    <cx:plotArea>
      <cx:plotAreaRegion>
        <cx:plotSurface>
          <cx:spPr>
            <a:solidFill>
              <a:schemeClr val="bg2">
                <a:lumMod val="90000"/>
              </a:schemeClr>
            </a:solidFill>
            <a:ln>
              <a:noFill/>
            </a:ln>
          </cx:spPr>
        </cx:plotSurface>
        <cx:series layoutId="regionMap" uniqueId="{2E69D92F-4AAA-4CD2-BBDF-84805E1F541B}">
          <cx:tx>
            <cx:txData>
              <cx:f>_xlchart.v5.3</cx:f>
              <cx:v>Qty</cx:v>
            </cx:txData>
          </cx:tx>
          <cx:spPr>
            <a:solidFill>
              <a:schemeClr val="tx1">
                <a:lumMod val="95000"/>
                <a:lumOff val="5000"/>
              </a:schemeClr>
            </a:solidFill>
            <a:ln w="9525">
              <a:solidFill>
                <a:schemeClr val="tx1">
                  <a:lumMod val="95000"/>
                  <a:lumOff val="5000"/>
                </a:schemeClr>
              </a:solidFill>
            </a:ln>
            <a:effectLst>
              <a:outerShdw blurRad="50800" dist="50800" dir="5400000" sx="22000" sy="22000" algn="ctr" rotWithShape="0">
                <a:srgbClr val="000000">
                  <a:alpha val="43137"/>
                </a:srgbClr>
              </a:outerShdw>
            </a:effectLst>
          </cx:spPr>
          <cx:dataId val="0"/>
          <cx:layoutPr>
            <cx:geography cultureLanguage="en-US" cultureRegion="GB" attribution="Powered by Bing">
              <cx:geoCache provider="{E9337A44-BEBE-4D9F-B70C-5C5E7DAFC167}">
                <cx:binary>7F1Zc9u4sv4rqTxferARAE+dOVUDUpst2/ES25MXlmwr3Pedv/62bCcTUfJcumr0cFVHmapMTDXc
5Eegv17Q+PdT+6+ncL3KP7VRGBf/emp//+yWZfqv334rntx1tCpOIu8pT4rke3nylES/Jd+/e0/r
357zVePFzm8EYfbbk7vKy3X7+T//htGcdbJMnlall8RX1TrvrtdFFZbF31zbe+nT6jnyYssrytx7
KvHvn81V6H1P8thbfd6+Rn7/bK3DTxcJ6PDJTKq47D5/WselV3a3Xbr+/fPWSOTzp9+Gv3BHuU8h
6F9WzyDM8InQmRAES+PlIz5/CpPYebusYcJOCGJUcAJDv/7ai1UEkh9S6kWl1fNzvi4KuL2Xv/cN
sXUv8FD+GPMwnjYPZYOEA6D8/vlr7JXr50835apcF58/eUXy8tTyzkw2d/z15uUR/baN5X/+PfgB
PLTBT36Be/iE/69L24j+H2hf5qvYOQDUlJ4IAzMpOXuFWg6gxuJE6hQZHOFtqMdrtB/ngfwIkAcS
R4bw+Tp+Tp68OPnn5zM1TvAGXiEwevkAlNvzmcJ8FpxSA2b6r/P5Q0rtx3l3iBFQ7wodGdp/hLBe
Pq8OgDXMV8QkkZy+s3aTEyIIg7V7G+oPaLQf6OEAI2AeihwZyOdJXK7zdXcAlPkJF1wIisTrjKbD
GY1PuM4Zp0OYP6LTfpx3RhgB9I7MkSH9R5h68SHMszzhBtU51t8zz8aJgI+uCzaczmM12o/y4I5G
YDyQODKEb6oS5vIBZjLYZkoIwQTvJ2AEZjLRMWMG30Z4vEb7ER7Ij0B4IHFkCKsNwgcBWMeEMvTe
FAaAdZ1xDG/ANsCjFdqP77b4CHi3BY4M3T+i1XNyiPkrTyiQKUQkLMDbpBrB0kyIAc7TD9L9K7Ue
r9B+eAfyI/AdSBwZwFMIIxzEeeIngmKu6/htgTYGOGMwwVKHP1jfnr/jNdqP8EB+BMIDiSNDGKJh
q3qdr4oDLNLyBBscjLB449PgHA0nM5fIgHV8YIU/pNR+nHeHGAH1rtCxoZ2EVXEIB9mAWAcACZz6
1XXagZqcICQpN9hgPpujNXoH5235MSBvSxwZwuAUHiLYJU8IuEOSv8WuNyGtrakM6zUhUhoCwUr+
q0Ueq89+dLekR2C79f0jQ9aEwEe+mbtFeYgZLE/QJjNBqXjHZSLgUzGpCwzR7F8R/qhe+5HeO8oI
xPfKHRnyNzCno8NgzqjBDUHeC3iRE4Eh4sU2PPxXzMdrtB/tgfwInAcSR4bwl3D1dJBAiDyBNXmT
i3p1l9CekCYSjGJEXmf9YPUer9d+nAfyI3AeSBwZzpPwk5Xk4DQfhG0LYnCdvKUojKFLRcB1Njav
gs73uc4fUm0/2rtDjAB8V+jIML/xisDrkuqfh3xTUkCxLsmPtNQO5OSEQ6BbRxzm/db6/QGd9mO9
c1cjoN6ROTKkZ+E6jv95mCHTrBOkY4OAm7zFuglwMkNiQfVB3nG0JvvB3RYfgey2wJHBOq+ixyR8
Lv95ZBksyZJDGmIXWXaCOaYIcs6vhnl7/n5Epf0Q74wwAuUdmSMD+jyBYpEDoIxPmIEM3cD8Fcud
aYxOdEYglYEHy/RohfZjvC0+AuBtgSNDdxGl69xbhf88wBTcJINIfcOjXz5Dlo31E7DCEO2GnMbm
M8hJfUSz/UjvjDAC7B2ZY8M77g5BszmUAhGwx+KteGDIufAm6m1wLuUgTrIYqc87CP8qPQbdX79/
ZMierfND0Cz9hIqXlPLrJN3M0i22BTHOTYgMKgsGBX1j9dmP7Jb0CGS3vn9syEIp+CEyUfwEQIMC
Pab/DHMMoeVwDaoFhtCOVegdbLfEx4C7JXBk6C5XwWFqQaBsHkPmgb4YV7Qn92RgHXMpBmnGsfrs
x3ZLegS0W98/MmRvknB1sLwThKw2RZkvn+GaDB4wYobU0TCFPF6j/egO5EfgO5A4NoTd1UHyTuAC
Q5klp5K+VyRATqjESEKUa9sHvhmt0TsIb8uPQXhb4tgQXsWfFDCrVf58mA0TENKAEgAs6dtc3vGS
xAkxGIJ8xQDoDyv2DuD7xxkD/H7JI3sBvoQVbNM7gHtsnBiUC8hMvBV7DYsHIDNhQIZKh6LsbeTH
a7Qf8YH8CKQHEkeG8HJVFOsDuE6wiDOoppcGebXSu2lGdMLhMpN8wK/Ha7Qf4YH8CIQHEseGcFJ8
+gM2NYbrQ0xkdoJ0Qqj84Ubt7GuEMiFGoXQX2PjmM4hzLT+m3DuI7xlkDOx7xI4M+/PVMxRyHmD9
5idQxgk5JvFW3LdDwtEJZBihSAQPLPd4jfZjPZAfAfNA4sgQ/rN6PAS+m52sGKLTUL338tlxoGEz
BTjPEmj6tn0eq89+dLekR2C79f0jQ/ZiXa8OsnMV6jI5EZKit7k7JN2wUQZhqMrd2Qk1XqP96A7k
R+A7kDgyhM9XuXcA6kXFiSGYDkvzW93P0CZDhEQHp4sLY5CPGK3Qfny3xUfAuy1whOimyUFK68UJ
WFawvfKNXA+tL6QlDM6EhCLOfaUCm8c+VrP3kd4aYSTYWzJHhjf0PIm9IlxVh6DZApwlBEU9/L2A
NqzZaEO0xWBKf0yr/WjvGWME3nukjgzx83X+BM1uzH+6LxAs4BRxg//cW7GzgINzLYGbYcFe2NnA
qRqv1368B/IjsB5IHBnONxDrO4eGRoeoHXhZyoWAONfrSr0TCIM2IkRCWxk2APlDSu3HeXeIEVDv
Ch0Z2her9BAeFcRBYFcFg3zyq0e1w7oBaAiHITDq2x7VWH32Y7wlPQLere8fGbK3a3d1iE0zEOuE
Mi4OgbB3ti4D4YYdrRiaD7wStsFUHq/XfowH8iNQHkgcGc7XHmxfLrznQ1QW0BNDIp3St4Kg3Yog
sN2wuRmqRgaBrw8ptR/n3SFGQL0rdGRo36yecmjyFZeHMM8SUtHQGYjBnvSXz4553hTybv5Aldjm
M5jZH9NtP+p7xhgB+x6po8N9k5yGfpOHwB1KOnXoBgQh7lfchyWdECNjiCAo1B+WILzkhcdq9R7i
O3c2CvEdqSNE3PLWziEAf9nWKnSo2R6WeArYdgHlJvLHq7DNzjZ0eLRO78O9PcRItLeFjhDsKXRj
ffKKp+THM/8Hmu6Ccy0kQgKKsd+Z2uSEQethXdKBBd9A/VOjMV7/+3DvDjMS8l3B44N908sgXB0k
bQnkDFLRUBX6hv1wssOyDu8FhtzHoOwEsP+IWu8ivzPIONx3xI4P9U/Lyis+XT56RXqI9V0H75pw
SGvB3H8jalvl3lBwBB4cgu5we2b9B1V7F/299zjuDdgreoRvwWmyyqpDZcUgJ8YILO4vn50ADIYI
DewHMIzXvOgOlY8/fUC599+B4SAj8R+KHRn2txUs+Ydw2GGfB0WbuMtbuwuAdWvib9oUGZtFXx9U
MozXaD/WA/kRMA8kjgzhVxOqVvnjYWw729C2TVL7nSAcAM0NCWE4aDn28vlBKl+PVPiwevtR3z/M
CPD3Cx7lO2DmVT+GP3/sNA0KNWkCgqzox57qHXIHG0OgIRmsBLs++4ZgjdTq73DfGmM06FtSx4a4
t84PQuWhAwZHFJohvAbe9tUXw0VYEGAn0Bvh2253Mlavd/Devq8xWG9LHBnOt1DKBKfi/PPTetMQ
A3ZqAnV7W7Z3QrAEtgpALxToNLm9on9Apf0YDwcYAfJQ5NhQrqBTZnSQDvxQtCZhrw/w71d6PuRp
4KDBbMdYkh2eNl6nd3Ae3tUYoIcyR4b0HSyW1UEWbjjTCpZlit7rKvlCyKFtBkdgwH9dsj+g0n6c
hwOMgHkocmQo/5mEhwi2wGkaApphwKo8cLYgvgYXBIZGRtvYjlVkP7Bb0iNQ3fr+/wNI/17FrRve
nG/2x49nuydc/sEj6iBaDl2IOAenav+yvPGqMHQLhe0C+7wqaJ/982S917m8T6f9qP4qu3WPr7f4
9w/lMCfPvX8q3c9z/qxVuZq8nBD4y8F0f3/15fbhbMOB6Nvit+eB/awQWjz//hnqiSiUegMt+nn4
4GagraUTnMsfwasf78a26Bq2cv/+GU4chH2XGI4v4xyINdQwwKjN+u3SZssH1wWUoYKfxTddnWM4
F9H9/TOFsxlACQI78qFrqE4NmNxFUr1c2tS34bfBoN2C/vMgxy9J2DlJ/PPJvP37U1xFXxIvLgsY
V4CpT1+/t1FXh+Kozc4EDu0LGVRIQvUjXH9aXW86ZMCD+B9I7ERty7r8stNqjlNFKpy5Ko6lv+CV
G196jJ97rnAvuJ7P7J7rV1kXGKp30DW12XWQV+sEpZlqW3fh1/WZK/C0ptUyIMTU6v40jPFSxtjq
iSjNmrWPXUqXKOxCRavogjA5tR2xLFxtmnTaFffdr6KL7/W2NKWdrSWTKsdShV28CKrEcjXNUdyl
C126d3nXmBpDV10QXlSdZ9UGumhFXSqDt0su+5meY7PxnK965ikN7mgS5s2j4ZXnthFMy5x+o044
q8vyNLb5tKTGWc2yC9t1L4yknRo9Mx03vaiIr2iSnectuYc9AnMX4wuj65QWJJc+9i8SDU/qyrCy
ordcVP9peMUX163OnaYz60TOWFNNaMgvcpJOAuN7kRtkEvlNZbpVddobcmU3Qnmc3ft+vdAKw6r1
4tp1+pnm+1aU9oqn+U1XdIWyW+/S0cU8EI2Fff5VL6J53xXXkSwfY9JeaDK+cO1sWfNorvfVaZR3
8yorlHDS78JPLyA5P+ltY0Eddi1ckSqppfNSxLFiYXMeVEJTuMvOMjtY0YRdGyk3Xc/uVFiJy0or
lw6JrN6pF3kfm4XQrn2jXWBk37Go++oYdMJjD6vM9SZ20DLl2igzRZSdezJsprzJ2quwq2wr8fhK
1EY+S7N2JlO9Mp02vSckdVXUtI8xOC2OynMHZZOiM5p+Yhcy9+e+EbuLMslz/5L1fespn/GYzmo4
gnRq4AbQb4uFriVolmRVqDSZXgdJmZ7GPK/NIgs8hUNMz1u9r626w74KWy9RRuwQy6a9fw0nLMwC
ggqll87cj3FhQbmwnMAt9WZM+t7EcSWUn4psUkrkm5Vo2NyuY90qeHfjsS6zSsNtlU15MO2rMjWT
NCOqcYqvMi/RJOBVp/yQXHmyS63e/97otqsMjdxqxH5KJLVkxy57ok9ZHlxkRdBYQVObLLTXXs/O
pV/eaw3InedVWU/gu5WZpVWgKHcmXpRckSS6a6rSs9K6KJUNB3OZvcsCy0/Zo+OUsUJ53Km0yCqr
YMaFl9eOEq3/bGhVq2pWRWZdu5kVELl2UuNb3JGvus7XoL+rygQVZtfR0KJp5yg3oqmlx76r0sD2
VJ3ieRrmFpXeZe1GpzJq7ljbfa8EOvUNecoS15u2WjXxHPfO68nEiMLsorObbBrVoQsrjsbPk9C+
iVPXUY4RFBPi1tSqGPVVg+OHxu/hKWfRs5bIRKG2yS3hOvHUD9qFrYUzHxmeafT1n33iZios20sP
iUe3bh9bVucqbyN4bwWfU17rIBnOHZlrimRkKtOwNzNKZnZCHsrMEwqWKTMr9IXnVIWquPfQORQG
19iTZ2eRxQ1fGVX5qFW5VRDema2NrCy276mT1WZnFDBAhUwWOCatNGKyMq9Un6e3bkMjC/ldN2k5
4N7a9gMNUaXs1BbwftFpFmiZMowGpqgXwNmvCUzLvJEFqEe/R4i0s9p2DFXpufICr1FNlC08r+eg
W32ayuKyjbxcdX2lZEQXjYsu3LK+ixE6LRvZq1AzDOVpna8q1C4DF900Tnmmx+4t7gRStc+tOPdr
JVlDLd5qS6+SWMVd8DV3ma68KBVWKNKwunHdIJ7mTeG4ppbYTNVZiUzNr90FK72pG9ZMxUhqM9R3
teri1FNxESXTtiKnRdBdpVERK4Hb8MpLas/89XDbLfv2lKRdDm/M21nFP//5n9skgv9eTrv964eb
o47/+tdsnWwi1MXwSxsu8vNbf52Yu7H9P4/PHTCK1/OS36Ebf3vxY1wEzPbfc5HXuq09VGTj2/9F
RXRoXg35egLc84VU/EJFoAM92pwiA331kAGt6H9QEQgCQ18YAgWYsEWKAt/4yUT45ugZA37EMRAm
6GH/MSoCTGibihhQHwY9aHTYdYOJvmFKv1KRoup0vQ6kdiH0yDfDZFF7dqPikMcqxmUyDUQ31wpG
Td+NrpAUhll7eaqaLLhvujKxQr9c9DmOrNSvfBMIWaJI09lWlskGjq4uHpuovUv89luKsvOuogtY
FOQyjcJ8wpIGpiIFM5bPIhz5llOG1y3xM1PP6BPHnlkLXpg2RVcG0jrVSFtXuZ/fo1Z8bxlvp36T
3kTE/ypwhCd90Geq0kQ/iYzsgVVpZXk4taJAa6a+k6ZWlmjTOAsqhbV81gRaqJhNa1VU0anbC7Bm
up04qm90X7Psln1Lw1rrrvymlvU0bHETUQUnWCS3VeajtFUYM8cyUqKSpDGmKc59VRddNCGoguWs
o5NajxsVaP6Xyu+AH8WhGSUyNCvkP5dCrG1o/6RsT+qKlhdh/ZUUiVB21xhmY1TAnbrkRrQ4UDgi
3/yw0FRr5GTStRhMa1KfcbsoTjMUP2bE9XMrDt0ETfSuxsDVIkaussAJVOwK3Wq64Ba59SQQYA2L
NkBWi9hDzJK7yBPJZdq3yRLFXmdqwpjEwrikTrqIw+SiwMUsyt1paIjTVrcfhIGArAa0WyTcn1Yx
QwtcBZFy4b4ntGyJafMkVCjsqQn63Eun9E5rTziTFB6fktjWTBvW5EtbottQhvUUVjgPmKM4Y5FX
BqpsMu8uKDQSTvKQcz7BjTzvSXeFij5QiBeZ5YeJnOQpunHq7srO8hhWenqZOcZUa8k8K/iV7ouF
HfazoK7mLuoLqy6d21JGl61Rz0hLOhUgsPERIN+kyvX1asEi/14Xya1I3FnTyLtI6x1l5MW8rZzb
NO6XeePd5FH14JV4jluZA6lwU5NnYBh6j87autGnCPzLaSu6JY8TdAaQw7Jf+WsfaFmdg25a5+gT
Sht9zomt2l7MaK9/I3k0sWNkq7IKz3vHvo70LF10QIiWVGM3XtU8xloxiYrbvMLYNDLjynF9Ky1q
Faf9ac7xHTL8xvITf1Z4+dzr/FIllJ5Dn/RvUeV4M03waVp2QtEstdzU8UyscbDAXbMybJxMUAQU
h/cXDaovXSSBFTZnSaFZCW4taA37SFPELWT7N73jXjaY3Wd5s3R1fBdmCE8Q6aZZHPimF2gXNjJm
fhRfVF4plWvEj7XNoglt7KXhdI2idXgWhvA1bJw1ZVWqJo8W0qmWdRmfwTf7SdtSeioSvVSBbEIy
xRCrN3mvxdG1C7VuRGnc+dP3yCTW/UrlOvrea8U88Oo/C6OZNkY96SSoQOW3UsbnUcU0M+lKi+LK
LEs6z530oRMC6E8ElKphfClJdS1xFlq4bUIzz+mDV+WLpsjNUKttlUh2RX1nAV3crkgMjKfr63O9
blyz1eOZHedyYeTp3A3EzJPBvU+CpYOKryJOkQp9dF26zCJpeO7G2VmAqvsgYje5B1hEaf3EIphq
KD/3anLZhlG1cDpcKd+r5yEBj8Ag1/CSnCZVCDMsLy8LG01r4dbwVtUPEcksoJrhtC4QmPDmTDPw
mUZRqrJGW7COzVHOwN3KFlHfzBvgYEYfLFujnJVhf1XWQak2bgKl+Vmbwisro0xFRfjVRvG3oPEu
WaYvypytC5aeuglfYOre1YV3o8viFopTQqVze1rr7kLU8jFA6QJHVa/6KFnYJF92ZXwa9wRmGG7O
3SQ48/r4WxvSGyN0qCJdpHCSIdPnaMZqbxqn6aUeJWeekN//y01e4iSbPOH73OTnaW+71GQj+As1
gTjEpqXvJgzBN1vzflITCKAY0DgD+AqHibU5FvoHNYG9BJtdBLCzk2AKhQpw6a8oiYTwCezw3ZyH
Binsj3ETCoHybW4CtauQ5YbfhBic4iJAv1+5SezIug5rmVwiFDrz1LFnrqNBbII2Z5WoO7OpSLEE
jpvMKOrpzGirL7HPepPG0WPOSGIVsDiEnatPDJp3ptNwCh6sm5mVy3rlaw2x3FJqSmS8t7Smjb6A
Hbl39T4365xSs0X9mbTpMtfZXCaGbumaO8u69N6WTmL2GdimvCsnIgnqeRWWp07kZypg+mkvvUg5
TJxzwr46elqp0pNXRiMCIPzeVYnyFYQrY1Pqzl0d6UCnPNcxY4ijmEHdn/NY3Ld2UJiY0gcjTO55
W58ZAV42IrzV9Oi8lE1q5o37Nc5tpDQczWO7ORM9u45jf4od7U/itaaTOdMSZcIs8nSZiuQBToG/
oG7kK1cHzwZWMAUvxaoMZaHiFpxCTZQTj/euAk8B3M685aqzs24iZVxN6rrulO1Hl3nTEhU7dJ64
xFNtU100YV0pp2/wTA/Kqc+z6zaofVMPcGxqpP9Cbf5EyvQ2qLppI3GkqBN/AQI37dxo4ZEIXGdR
fOGV+OpmNpAF1j1wr/CU1+ipBSHbwAxjL5lSryusmIhZmfdXeRuLKXbD0xaHa7eH5UuW5Ct3IfqU
h8Q2eWJc+rUgF6Et5q10brIL5kJ0zVeokWe8830T8jtTT9SJYpk38cren5S0rGd5JR9czh1VZTFR
YeLNcAR+YRAlT4HgieWX4NCRDE9DKawOOZOu7MDs1r6KIv8RTMgaGsatmwQ5cydjFw53Fm2dOapD
dTTxu5DdUR04GOokUcL2zCTOTiOdL0Idn+uVO82lE0xx6OXA9YBSEYd3M1mlQA5jvSonTa1deWnz
DOt5k5s68oB159mszxgEncrslGkZMTOWzg2euCohtq9iKaQFR2HNiebEsyRvV4HBbj2UWHURTRC4
kg68uvAeGfcJranpZmV9kzGcTTzDaV95Y2e7wsR9hSdlmEJwTg+vjdqxgMpQRT13ERt8adcFVlGQ
+1bo+DAvRFhNpJ/iKc0SomCnOJpqIQ1N5PXVWUfiK1tzn6jTsKvSjq5lzpBqOc0XaQH34pYNRBr7
alIw4JQO6i+TBGaKD5FTRd30iy30pRshZKXIZ4r78ABj/q0s8WmRXHmMpRDPkl+kjOxFy5OL1g4b
VZfNqUGSZ1aEYCg7fxWxKJ2IoAgsrdUCK+3h/Wh0CCGB/XMst9dmtDP9/htx6HOdL31/USTNxEuy
zsxseA3qyF51fV+DTcvO7T4A751qN23K5jF2NdVl7p3mBOuggilD4gTe7VSfFgZYZS1KlUEJteow
vIVgxnejThqIysF7R0MxY0nsTFgLHo2W9qWqnSxeaqTVz3Ec3WpelF20dafBOy/8iTB622r7WjMr
205MJ0eJcpv6vM4DqQoRQ9jN8G7cHN5mnTl4kYe+O2E2IN7aEVFB118ldsoV7ilWRVT3Ztpp1zTL
KwvBb1Jun9kKAtWNGQcBWH1gtlaSlQzYtWpr5p4GHYxV0ewqYvQsTIobZKNbW/cSC5P61Abfc0Jf
wofFSygRnIH8ITD0opnwIua+WVT+GZAavzfLmkZk6jV2bGW+V/wpDcdly/9yghdOQCCN8D4n+NEt
ZZcSbOR+UALIg1EEeTAw7OwtO/ILJaCGTuGcREbwJgXykxFAzQNiGEMjFwab/KEf9a+MAHYcYThA
FSoWIQLCP8YIMHCLASN42aRI4UAKqLGAPejbjMDPtYCInriXEeqZfe6SUv/WYuTKhZ7HsfMl0Rqw
vlXGv3GXNfnc0MDhV02rNX/mvSjuDJclN4bh6b3p06oBmxKL8r6gFbYrswrFhLs+2ANPu2sJBEJb
B/IRISGBSVoOa0k8qxx8WdX81gm7VeP0K+JCNM5rr3khwY8DPkvCyLskHQT6ccAnbW1blZafutzP
FS80B2ZnXZgO6lZBBjHyrMkbVRGnAKYcM4gkQnwAGmpMw7huIXsipNIrY8GcPFd1Y8/TiF+zWr+O
PI6tgIrnzm4veplDHKLGqyzOblJKvrnSh0iFnTdTYANgmCGQPpOeEZlJnXgmdIu/9rlY1rJ4IFEw
DXgcLqM8OatcCI1kNgFTUQisWO7kkBxIpZn2wXWdpV8z1qfnNAeD2ccMq1zGrcojyJE0rG5UHhae
WdIWXKPYCZdw7uOkF+kD5RCjLTBKrQrl677IO0jItOFEFtU8LPwZMqI5DkorFcKfdpphMla2CkJj
0yopHdP14RlkNoalsZb63Ivh/1jdVio2krvYDZ6FEVxJ5loQVX7CgXvLkxJi56XPlrZuL7x0Yyyz
UNW6cE07SmzlVHzpQMrOTEJ2DXb+luWwekGK55kn8Vnf0eu0kwhiBDK04lgIldaJrxKnPYO0hFmi
plawOM9CT2sVYRWsWRhcsiy+83kRWpw33hS33oSn5Q2kVcCENTZEGZCcskzUFxUwRyW6QpYqZ4sy
4NGdjPTWyoPqqq9rrnTqXsQ95BgyDVHL76qveec/2hBgmAO5qWAFR1ORy3vIVT4I2zFJjldh5AAR
26iB6mutk9PM7i/DwJsUHpka9hd4WZMLVlfL0Ai+9B3/5nEjmsZBj6d562WKGUG5QGl3VnJ47bDu
LxMgzzKCOJ+ryXtNgCkr9QYCB35rm1ruTYMmuNDT6JIa+Rn0X/tSFzJTZZ3XyhFsqtHsG9M0y9XJ
16gMISCViNO05ped11AV8wq8VXvq1FliRXZxK33xyLX2POfVmtjRbVGKBTQqWPp1gBfIFdwsQ6Mw
9QRwAAL6HELm6ZL0jlCyDSsrjfkl3DyH6JH7kOW6rzCKLomNv2Q6m2ZG8Khptgn8HSnhBqGKaPSl
rBK5jKl7JqIyvne5kUO2M4TwAorDMy2sUlN3u0zZ4DVBOi1aNbYdTMouvMKF/RBqSWdSSnIIcbC5
IftlGJfnFQaaWrE/Gx6tSopPex1+aUOu/NSzQkgAuim48CE4vJTNaRoGU88Ozys4olTFTMbTLogt
RgJdwUKrOt09hYwHPfNwHl9ByM4uTtsat7BAxLWKCO0tw8jKOfblPdS5AT1KIuyqzPOLaRaichYV
oL0TJ4mVtox8aTt2qiEPX7gwsUzAXL+MRdQrvc4BnFK0930WO9c5xuGZz3wdggRVOmlCLZxjAZHX
NIWT2pRT2A5kLXjpzkuNakCCXfjVXYrwVPPtQP3XTL+YaQyW830zvTlLYddEb2R+mGjowgG79DG4
69CtViD6q9dOTyCLQGAPCOwNfHXof3jtUGcsoSwCTDtcRJzAgD+8dihzgh7WCNowwQ5hJHXjQxmF
Xa9dcEgXUwo1DlBrY2w6ef3qtQOphdPfsli/DOrQOdOcKLNv2jaIM4h7esGsYYyqTjDHzKRuOV4Y
LliuN6Zeafo8gCV6EXUkOm8aZAQQZgUfra2AaTMBE5tGUNcASVDV+JB3C5z4VDN8/Vz0NtRChGjK
I0dXThlAHYFc635dqLprHMu2WR+Z3HXO4rY58+NwqsnaVR7xq+uyLhakbvm3sDViVfiuMWmwPwtR
Mu9pOmuIc51BFtpCvOsh++jXZhzl87KHeoTCWAu7uvKovIRYwIJIceP9L3vn1h0prmXrX0QPhLjp
sSGICIcd4Wva6XxhONO2JMRFIIGAX9+TrF29s6rOqe79cB56nH7Zo3aVwya4SGvN+c0FPDivM189
nurrtuyue8GuYObJK8Lc1xobWuoJWBbRFy5T9DEpE1moqH4khr8ip39FU11UfvlKGSa0CdTjy4Ti
W9nJHYyQOOYQOi6lE6RKnWRJx657CklQDcG1MvWlrwFOJBU/9034Ngh7a9f20+JEZ8xCseicQ0ev
T02iEpgR9hixFI3omuH9MUnGVvQcarNTNCU7miyntfS+poO4X1xY5sJWVyNv0TglZi3YguZyqwA0
KeO8ct0xcP2rWvhBdV6XR3RY93yB08u1+IGmYsgXTaJdS5ZD7MlTDXbh0KTBpdVhsHO2Fjs5DM+6
FGFBh88xXvxjrGJWlBwFHI/iXZqQT29GjYHk221fjz2Ud9nCIuqf0iH1bjxWH1U03NfcHNm2E4VT
l1dWJ3nEW5XNPl++Le16Snn4nkSGFtVUsZx062s46FPEw2+Qe+771HuaBvLqdAkT24rPpAmXfecU
K7SpLg3cMGVmhs2bmLwa3cecsg6dc4RSRfN9FYw/FoGajkZ0n0zqx4JZO11WDXrYBzI234HLBDdz
FAnsQ+PMDxaBrnrnoiU84PvHx2YhcwuSQI4w2sCSJJlNEw+FGFaDHZzElhV9iQ+r7YyvrVSZLO1O
AeTaM6zwUGgUikyY+uK4TP7tiofhfsEGe1Be6u51aCIoNsGJ0ormIaxt2uMzK8qk24pDmk1mv4OT
s5Vz8OBUpsjiFyGV81WTeFEW9Z08pem8HpIpckUnpc0W4XjmT9Pe2eZH6vPbfkKJg0XqTFEVZXhx
7/1iEr4zdXXpYzjTAXlxabQ8DsRTry1BrRr0jbmjsBtIOegitbghh5iqok05KAlrs7nVUBkIntkN
yT00AfN2SeuvGXHjdGnCsJh5xzJsVWcVwOhiaHXHfhDZWMd+FkjzfRi9A6Ew6yboC6hAaBZG6cnD
tIQT4XW663RFsiBth29B0odZ1KauGDmKilD2drPR6p1EPbT3dN3kq139Hz0JvlZNU+6Zwc+ijk8P
7TpjVVJ1dOga22XGq/zDpPouI8F2fcu4ydC1QNkXh9q5i8QTlTswQxUb7oXDt/a9COpdd00WepBN
aYuO1Sar1gFCPUvzeeOHaAq0ya51rg14qkos+6Zt7kUkw91QwZ7t0ugangrsDe0fZKRe/Wk4jJ55
XNU0ZXU9wE1wQ9ESdTbjwPfL2IhcJuDMtD7Go/nktBS7CJvHTnsogQlKpuCczs1TY6r6honprsUZ
zbpQsqLp4IDx3j9GQGWWuN27UF+PZfoxdwGBdtacrHJzwcl8SOLw8f/HCuHXzT7CmJa/Kw5+RUl/
w1B/8oQ/P/V7eUDwMpJtjj32+CCKtt38n6I+soU+YkSYwZlu+jwqh3+UByEyZQQvbE3RxzPo+tsb
/n4vD7Ypu/iFgBJTvMoGb4n7V8oDsmn2f0AfGaaH4Y1VMShLihQz6pBfqwO7UiBa4zhfWkdZgaZW
aNiVVaJyEHbTfexFy6map1YVvq/sq+3C6YsKzdxnhrX9yy9nD7bXRmb+SmJu70D789HgtSwAMGBa
hFuw/o9HE7aLVkxgDQn6lly4WtsyG5MuRhM7WawokwvH12TSnkSnm9o+76tB8axcTRLmeD99+86s
9W/xO8S4C+qafFkjLyWHJY7KD7J4ZN7//REHYEL+csQxEAkWMBR/mJz7pyOWicC1XeyFzhGH/jqv
9ZcJ75Gie5ssXYSCZybVTiZlmoG0WGS2KB8r5jQsZIfW3b6L2RiSS08D77LAgTLbgKDMkiFSvOBd
Je7UyE6NYcLsMFWdPRsB77J20VxIA2hMDmJqDn//rf56GRI4UHjTaBLj3qA/v/SvPOzicYeV1Vxa
W7LnjqOSRVkU4NbQ7TjfuXlgj7ok9de//7PbvfbrvYiKN4GSRVmAexH/sx3WL3828mceasPbS5ui
noN6MF5aOL8yLcXz3/+lPztZ21/Czo5Xa+KlyCiJ/3Sf6TZcVuxH3SXVfvjWu26oD6VNF6ivWhQ+
4Em4VnAEULHQyDX/1U2z3RR//KK4UfBqT/SWMd69/Oc/D/ca/lLbyEvSq+itqcboTdXbMURrY4p4
6Dq4E7j0B1f3Lsh61SUfW8995dgS3myavJ9TV3Uqr5K2+UIHDeFapMvyob1J73xvbVBmsS4cjhGN
1/G3VhDgF2jxu//DY/rXC4Uh/Vg24CoGIZ5VrGm/Xig/HqM2ikrvTMayeZODNTxD9WAhmdFlafnJ
Cam+85TpG0jmYh934SzzgEzJp03WtcsXwZM87KrpQw6QzaZIi+T095cY9cGfzzINIdhjzhrD2oqn
E07rr0cZD6n0UXPTcxX2ukRlDTZ1Pcx2pmxvp3FE493791OzRGMmBOyUgbQHEwz6UIc6yFXdNw+6
jpo5S2rHX1yFXmgxKH80kJAvsVHproRTkI9dVcEcs7QCP1WZ9uK0Z257b6UF54TByFnLtskDcKHH
KAZTFVT8ji8tnTequL/Ysn+yQeOBOZwCnEiJInU3QMpCAeLS6qYWUfpa+mMI2TIlNyufJzBJvgih
INaLvPLSAQ6+W9J1R1zkgY+df2jT28fRh1QESNIm+xLM61VYBsFTL4hThzLxiMxWocrvaF1Rncu2
976NTQJwTJvgSnUtGIKe1e9y0jGee9qoR8nKOQHrGPLTUA5jvuA8HAis4tseVFkBgbffEwLtp6ij
hPB8cjzt8wmaLHgZOuxGzW5F6XF/RwiaHWw1ATwMv4o336T+Oje+uA4Gph8jaqPDyCov2Ju4Wd/S
uBsK48/Vugcbx4EWzf5bYGr3aQCSRfkaWGCkwJgnvp9t1eHhcK5Y+DSm+6FD+VRbCk8WPwq4KRw6
nOhmAshsqsrLk409B+Myr1lo6zKnFnjLYYhVwcNx8e8dJSHIucGvswp3kt1T65g5zDQBYK/WtS7v
R9fbpskWCUR/eBelCIL11ThvThrgzQOW8u4HKIvK0iEb7Thq/2KVbdR8YrJfDxO0pfKqGaSEnxbU
3aOfePSqWiiFCI5rUMK48tmMy9Wk6a4tS+yHtlauL2LluA+D1ZLyVvSINnRHtSRO7Ja5ZvYmNpbi
jnJlR4zLR+yF+9gTVXk74dGJt45fo6QnVBnIj3A4WVb32LxK6OQyzr0S8Z0IDarfhnlnyqbJBRtd
uXd1UjeFAfit9lHLmzVP1wgrZhsoENmNGIDyAUHj5s5Ir2mKDs31pzdOiYTN2gX2IMN0TC+RV/Ly
1NLEQkuA2276dTkavP9lEIXmIoGAb6a13wP8At++1HGzHH1jGoiBwVLLPJmjpT4MspceRPowePF0
s6JRBnwOSFk1vncL5scDwmzb9gW9AWuu6MBsXShh4wfw6ZTuKw+V8bVwAsYc9MhA2EM5TLp9xGZM
TxVfA7UfNY6g6KCcrkVK5pXlabVod27SBbe2h0dl2JWEjKeBRugeeUn5iH5owuWUiUF90q4VXT9q
RRn6ZhxAs6NLI3oEB2R45DJRcR4o1dOd7GS5W8cSuqPnBs3uqtJVYU5lX61glKrVu/bLOtwTXUJZ
SQRLdEEWsXZXQhIHtYCFwmXbz2WESdbi9uG0z2cnvTWzs/S+AYBHxiSTeI6CC0HHusosnUKPPi21
C8ZLrNnS7VqomTC/W2xJ3CQKH2ANZI59KQVpX1dSt+LUL009742LVnlNLLdPYRVEbxE8zBJoIW5e
EIlzQgsTrxIHP5Kq2dW0B0aRurKQRPav6LpQWVS8mh4NtPnvehD0OCWOl0WqIh9YA3APuo9qAKv7
dpjIZZ01De+NjcgTsR5+wsWeSaH5L8lcTEFTySPYvsBdtQk3wa0EQgn+u99uzqrqzSGpjTCb/mrT
3O8dro1wLQ6sM1h0r7GDsWcIabi7G6ySwxZ/mLsra1gZ3FXDqNQDelIWXs0hwitnO9ut+BTLfBcp
L56LzjX40123OdAzOIr14Ktk+/LboTusTzgu3ZBLGLX4FmMf4VQJ1ak1Zwrxg1zXXMn7dkjwyA8j
qgKO/4Y1NbCtuO0JEkptRrXwcbndMI/nxhPaZNIf+3k/+9AmC8hTwbZo4GHK8Y2wgMyMbHWybZvn
MqDslE5SplkqIoX7YuHxm2spDmMequUBzKhvrjnK3Oq606AIH1PsFgfT+uTSM96/Ap6OYUCHQgan
LuVsvC5Fx6fdMiS9Q4GLPlkHOK25n/TLD1Wr6G4eDbS73l8mEMoQBM2xKb3mc1nZtobIHkoT+oCU
FjJYhNnruGEvnl82e3hdvM+SEMvcArbmQXbWXLNGVeB+giHgWPYiqG+TCNjzUHkTL+qgxWOyeiWF
R9d2pP9osCAvp5TglirctmIXVeThjM7TOqFrj1x/TYYxiPOS1XbCTksnuBJDX30b2MSevAVlOvJJ
diDv1rSw1hrYrtOVdAF+1QyNf81DtxElGpcF3pJi8X7tpsme5yWpH6F4goNJzDFs5ik6ri7GxVE+
MesBjkPXndt4Dm8864ddIfq2ma6BZWoBDsk04gmViHn3WYtlBEsnAFMljDMZAwDdYxdY+sea90R+
hWZG0ylbUYEtX7SlHsMvM+VQiMRT/OSV2n0X3PemvE5MrK4ksOH72XjlCramN2Bt1hE3qQxsRe9m
Va/RpYl1XWe9nvz4HBIRzvmC6sYUTkBvKVzaSsST1qTB2mFMXZCZzgPIiSAdDmva4+5X4cxB45QL
QjOlNnH/Ak2NPFViwL2GnY49416HytQyCBr7MdCs2qeNiF02j69BOgJLgnIzJV+ioO0dBDluw3NY
1un00JeGgcVBnKcptKS4mmgclvlGUqu6m2TQgt4Fs1/HV+XcMXyvefb4WQ2edrsG0GaQoRob7bmu
Sxz/wBTfG5EqsXOz718tfYjnfoFCL4Gji+T8syr9R4DzH7Xzb+HDX0MUv2Yq/jvhjLP8MXSm+7R/
Tmf84Rf9z4twROiE/u9ey2/jw38VYOBYIIS6fep3OQVRb8gUAcLDG+v4Uxj5TyACbguG7aEjSaG8
gm/4p5yCF1tEmNGDpCQaF0AT6Pd+l1PYvyGOGm6dM2QHlD3pvyKnRH9VMNDRRWT7W2AscJdsxMQv
PWxbY0RBjcO4nZhQZldR5CkiH2G61juNNS+IBRAZeRu7N41Xs1tI1jUByPqJnWyEQkBTSva8Wp5S
r+sPY9XUCH7IOuti0Gqj/sGDGY7kase5PCDdMXo76o3PJgVsiArTHeIhLm9EuMRX1Zzs4j6guU6m
4YxuFG41DwSYePLdlubTL0d71K5FKrNCuCPujCrkPD5A8r5PEIa67xELyblyULrrFnh3CsG0Zi0U
xpHpbGGaZQ2OKp0VAh2jB/szKYsKIYYsHeU7QRwTObsJ6TjbVtMxhl2Zcb0CrafYNlXZktsyAN4x
j1B5LPD0Y4J4IgyM+X6VNZJfiQ+/hcFZWqG2ZgPFsseoO9dJeVt14jS3wdEOAKJsG4CapP11zOHt
d3aC7FJWD11kchV315Pnh5uADSa+6ZfDKtD5DONQpGMv8kHEZYGo1he9mkeU6kdsr6BX+vVucGrZ
oQN+oX3yoxu6S0+iJBuIOJE0uots+cSnzfpCEm9CpnXQ4ZU/sjMwKrMLoMwgLBkmWOe7r5WrT8iF
vs6VRYSQeZ8zT0U+WraX9fQtatmHbhNUg9hW86oFqg8Iq8ummkJdFlzcSIkORWGl/gZm7S5dqmfl
J+j4GugEdQshyEuZg/bbYvMz5iWeAGrFc94BuS0Ul2O2cClQXPTPHUXot/FruA5pDA/An586XPq6
DoAZysm3RbsizxLDUs/R/dxpA9jdT1xVDOv4I9T26wTGo+FtuC8pedelqvZiFlt4GMsq5Ps9b5Np
H8+0BI9rUJDidj2Mvi8zH4ECxPZIH+10SK+8kbEDT5FxommHB6FLPxfk70JlvlPt0DWhKytIBRJw
jM2na3WMo12aHM++zlGa1Hu5JkhBl7AZBsbyXuIZwYKPzqMTK8rxPqfo+tAWTwf4BgzyyHxLp/IY
RO2dmNvbWKVXniex91whGlm6M8PvNKF91L2zebwkd6qJXxLW3MIqrTNHq2VXVvNBIfXh9/LDtPZr
Ugt/1812yLpKs8IkbMg7Zllmq3bfKX0OgvFgvOaL4eOV6vmNbTTwmsDkKHbugno6hqNTWeJgdQ7z
fNvUAQwxv34VRl6iWAMI9l1yVfXJTcCai7SQJjxqsekuQd4phVx0jLQrFyTNPU7k1VjJm2CUN6TR
rzWBSJs6M2YxKb/Ar30ZB3MLxCg8oOZku7kiMbCKMNoNrV0yKDIq80Z74GHTok1e59xbmgcXly/I
S7coBkYEOyXF0oPPcdT+cHZrxMzUVbkOHz0q2iJYN46TBUefd2sullghzanqfLLiBWDqvXUUOKUc
l2KqTLhTExw21fufeGHkdSjljYQKA+MYwa667Xd+I1/XmD6VJa77UHZIcdnag9VGHqKUvRKwJxmn
7X3gzQ6wZPoZs/FgV/ARPfqGIjDT/SBGpEKCp0mYsz8hNp/o9ATFFChJ0tzXfbubE+mdhKu/yMi2
O9/Op3hJiwmIDvqlIMqrvq7zuHWqqMO5262+OK+t8zJk0+adN9SffC2feg2vbiEBkshS6MMsqvdB
R7e8I4gcp27dAcUL8hY+wLXj3nq0qd4nLkG4rV/v0Sm5wpsQllaMP85UFmPgHVmprxlrpn2ohxNs
BYwjIGDS+75ZDtTFY17HXbQvm+VrM/h7y/233szyMAdiRH81XeKx+RJE082KDFUGg6gIp3A/VLxA
HP9a6uFYmdIeV9xEsLxiuXFMhyUhP1aizxHHmj1vYXaAqT0ZPmwl0ez0b+vMi0Ti6TTLmIeUvMJx
3pUqhZ2Llq5U/jGxWE253YcTbgIYgli5dZZIOHqRQuAOVfGTHuV5DaMPZbFQShp3xVQn6PuXObOr
PBPqhmw27HZgKz8EoXuucd9maR3CSXeDgJ6EhAAcuiGCfxYna3fwF/6GvXOAASrGzBMLQlRQAW7T
1EsRt4qCw2CGr1KRx6gd67xb2ReS2NdKCbRZWBcyY3FrINlLsIKQ/Rqk32mZzoeBDXsc3/ehgmfY
pt27Kdc6YxWZdq2g6wUNUrQrdX+HPe/sQvw3FO/XlkEGBXuVU+11yHmP72WsNFbR/p1ilkRVgZ0q
vVIBri3PRMdjFvJF7FnHph2fbQgNEdl9PGV9DlT3IhIfT5mWbeaBue9GfoTsJooE66SHELXz2sel
W8VBetU3legfkUtyhAqaAxCpA+oIXINyeiSRJnk/9clp9ZIrbbeQebuB/CiNcsT7keryiLnFvIcd
X5pP5asuR4b9dk7KGsYpv/GpbHJm9WfqgUpAVPLVbUMfvL4B4dHGb0pEUaa59xXieXkPFvGM1Rx9
8zmcxEHIMPJAY4EL9a1i/aWr607E2SB9zpGw6qe1QDKmF/+LFm8VMYiKv7Ul/71GsPv97c+F9G8f
+6WQDrdXwaWQxtLfIs3/WUiDaAJxHOIhCcAzbWzS79jST7QYaeckDLc80a/YEkayAANGfR1jFHrI
guBfKaTRNv9JvY9AIuCFsujNId35bCvZfy2k05n3bEzFeFth2zulNQvPQztfp22NPPI4PMfYtfvK
qmPbJfX6ITrTe/cjZpIs/SpzyHT1PRPYQS3y9paHp24L4PeAYrFVIJSfKOIdUH6FWajFnitE9yHi
InmhARCjhEOyn019u29+5v0Xrl8Z1hXkHRPoblDSqlwHJjxNs7eeIt3OosyXdJGo8dVuCUoPSN7w
yVm7wtrzy8NCOpgMRLGrGhjDs0ba/BoAijqntIWGLh/1iBBFkTaLj+hyikkeg+fvMCKk3XV0pbu6
lkgs/JwKgr1SJYMtek7yyAZ2H836gg1iAkvRsf1Ur0CVSwtpTrTuiCEFF2IMy23bvw6O3yzEFcJf
UKIGZz/k127dAN0KmSiMOemzKk2R4zJj0eIKZ7z0kBsZLP8sXRd/W9ZqKvc91p8M3gJkX2HIkQ3j
g1D0Ma38drzSsfDsvSTAy+AO5G0v4mMfLaZ9jK0PrFOMZTJlNCnDAyUOIZ2ojD5VOboruXTjYUSk
Ybc27d1SmUuMsCNyy5feD65Ti+E4xp28Jt51K1p2sCw+EgqR1O+uDR6kZa//T1r1/3lNuP+3Tfi/
19hLPv68dkRAB//ZhCOVgFAp3ZptRAuxRvzCNOAN7QlAhyj6jVzAQvX72pH+G4NGjPdD0wjt8R+C
ipj0FGCME16UgncLY2X515iGvzh/eNldAPeawg7DcWJO1B/XDj6gY0HouL71SP/KpYU0OdbfyRJd
1ciOZRXi1mYYC4xYACmV7FfKb9jSX1zaQM51GCrSyL7JRu7lQzIGezTwe7+jjw7J4CJNujGf+HLj
23IXex00fmKfZRrovCY1gtg96l1vONbKvDXxjNgaCd9LEDq59hrkDaL5ek6nd4URU3mq8CBiFS7i
BT0rAQ5X+CMgn2FD0KGC2TwZGSqtxQdz3bXLvu3QNmBCxC7g9fU4R6g6uf1K4WnuIE++d358gt2N
0QogtDI+GZU1qEwjAQsYgwTuVkZephJZ+ioFqSaE51D1WPzfuJL5yoFjNQ0vkYLDeCS7XxLg+T3a
zixw8/Mq+Blzkq41ClOB75R1CzrzJggenFS7CYm1QrXBuSTBU7nUFuvQ2CBjRgE0GIyj0gDeMqCm
x4YuEoWNfkmjwctj1G4jz6Opl/zRBpX+BlX+eVlDd20xz0VTaw7gy2G99cO3mUN6bdWh0Q4g2BgB
a3NYk0eK5lOU6Vnw4Jn2hmajdLdeHMaFUuO6C6KVFyuD6s0HtvGg4wP1xHtUlx3GTvAcMxPUdRe/
2fkN5gcK7vjNLLQ7jIN/qEc0sYNGq/3MiGgfa7/W6kPy9d3N4mGl6JiTn1lAhUIyfRswC6vE/Y0y
p/WPsw2622Ao2W0Irv60sBKwJFZWhzk8FjGCzBe+zEXIlgutVgiOsmvcAd7pi2vdLpGNONO5+4Ce
imK646yHipGK9X/B7n/IhliW/kZs/Mek1b+udBE+93uVhJUO413wQlyAMFhV/rTSYYwMwUjKIMSw
mI27/udKh1cmb8A1dmT8yB+rpBj/AtgWgtwb2fUvwd1x9EcSI8WyjDnVMWYUbzNu6QaD/aFKIlM0
NF7XNLcrIgoUwiAoW4g7CC+sbdVhIgDyDBWCDeGWcMBQnKM/koNE9EGMHmaKVDvmgvuWIKqIiIQz
+k0hMlGaOgfCep5XcsMRqVhFDI5yS1mIhL8axC6mLX+BCuwNaHuchz+zGVtKY8Wjet1syY0aZgWm
MCHN0SHWMY4/8x3NXbolPtDq+DCLsLoyhaRJtKcIh4gZo0+2tAisgK9uy490CJKkEWZ1BaOC/rWl
TMa4QywIuZMIohNmeyGLAieTXEVLemMRU6GIq9Bl/ljC9WxC9r1GnAUKEELCNT90CLrE0YosFqIv
ESIw9ZaFYSL6QhGOWTv7zYl4bzZWGSxsnzmW3oUI1NQNhtwhYFO5aq89AuBjy95UCbQIMngvbMvl
dCuwGwR1xIDqa0V0B0KbvWqjGmMctlwPIi0NUhnsG5CAuwjRn3BMu4vu77Gv7BtEg9B732J73I90
hgAL+3BjSijCRJQAB629r1NYvkBA2MfjOGZsQv6I1s13iUCS3pJJzZZRInN1WbbUEqbq3PtziV1h
SzT14VX8M+Jkt7QT5MzpAo9vX25JKCSdXb6M06NYqgL/LPfAouudRYBqxGGUPaa+qS1bFbruEEkf
5yYleecv1/2WwwJAAY5iy2Z1W0oL89EeZNpdO1e+hz1yyXILdHXxgwfBPvdsfMO2zNe4pb/ElgOD
FvPgIRgGXjW8ibas2NxXT2nZAl2WMLma+waCY9UOz5wB8UBDguQZvtQR+JnD2C9gdRBieA59ZU+3
pBpIO0xNkmqv5bhbEWaLVnXww+moAloXoNcWCEPjRxohyh7GyML5CMV1CMcxorfdG2d7axJyCFgY
uzQTk1EzoKBOEcFbZ+w24Mn0eV2GLz1ieKUe0zz0ESbspEdgNYHPaEZo5TUCfH4311DiYG8h2icR
8cProR7aLfOXbOk/jyAH2GyJwHbLBjIAQSAvg28ascEU8UGAZ3y3ROvFH8v3cvJANiBqyHT6AAbj
6Ch0eFKWV8m2sUa46TM0e/t5SyyCYwqzgCuT6S3PiK1zQnJ7eeN0RWxrSz3WOKMZOpSTnbydj2Ak
/HMkJLesJFLhBwyoa4pFPSBTRLZA5YRkJczFN7slLefpSdVkN87pHeZbQj7aQplui2dS5DQX6AOZ
RXJTrHYvlik+SQlrWBMb4bJj3l7rLW+4rssJ7HvRaR1mIBHoLvDCj2A259r3zjN2zwIjAtsCWYi3
bpXHRdsohwOy4HLBDl0ccoDLgJYKZvNjk7gu740lhzLgLEdZiOOZ6nbnRtyB+PefQT2jL8SGD19y
cydq76Ef/Q/T4JYI40aeuiT5oof+Ymq0UZgB9qG1f5tgUJWp5jjD/KNw27WDfUygd/vrcFMS/zAj
KLZrcMav+xZfGjLxBFG/fQ2bGkKNhzUY3AtiA9MQIs3GjyVGZB07srz1sewODEtjqOS+x4y8XIjw
jD4MgTTaZBtnulsk6s2qcRhb0d31xj9UQ/ikV6yVHXkkHDMFOgRNM79L3jjXJ7RdJ9A3cuekj9Ci
P37BTCGSl9BWihrJCuQHcFMrU75O8fo62P5BmBADEWrvCNJ+3IZxKuBP46PGPAikH3F9qYfMIR1c
7pKyzXgzfK+GGksFhjoKcFzDeuC9aJC5NE+YY/isAvsy9BjhWKvxJWSrD53bkZ3vB+J6NdW0k2AO
AP7BUOh4j4GahF4NpnpsY3pYNcaalgoxDzX7GasrIB+sylOmAvAOMRCq4HmK751BAuark9ehoPct
ZnukUfxcQV6XtMGlae0Bo54uge5Qa9fEHEGWfRAs9PCn2R2IJjzaoVcegTTXWQIqpagTmCOYTbDr
mLsxun6YoF0nc43lVy7FupAtMnotOohomIX4kmyTJvzennp7mWIIxBHmgvGE34ULRaiwY/IQ9AMG
bQzyhSzrAXB/ddN6WP5XbzizJfEQ1h8VALK5gl1PaWZ0iqtVwlLX/ITwj5ebnxUe+VntYTxbcITq
/IHxJeLsWgutgmPFTl6qrVAcrETNaPt1uZCfhaTBdU6WNT7yFINDZJl3WL9OpV3ZLaEDxras0J5L
Y8MrzC261D8r1jFcYIltgy2ETvsCm0e1ZxhU0mD6RaCjK6xGpxhTMRSy5gjgeBjMMoT0WSYaK8Q2
RiM03lH8B3vntRvJkWbhV5kXSCHSZ15uVZavomfT3CSa3ez0NtI//X5BTWu6R9IMBOzNAoKuBKlY
ZJkw5z/nO3A1LEtG+zIW7+Ys3sM5emPLSUmjTPtZaEEBm8PIBH86v6M09SrIpvzLlGQlM8l4Z4jU
WHX4pjDxOc/xVAwoJl26GVE6G13CsDOWrTNoCDuuc4p4seu3Thx1K7zL4IlooGOgebrXZk0gNukL
HfemeOTlZxeHR1JP6RFrpbutm+m2lc4uxbYQ2KZbbstJZOu5JQ+dcDFe6c34XHZTu57ye9uaAye3
H8HX3cxITStnyQ4jmJQ2yW8GxU2RIHL1roZTZn1hcb3p/LFc5zEfgQToCli7LQucTsSOoLCvY6dW
hBZ30fel0xkIycU1Qjb8szAGDOpn86adOj4PY5QHseK+tA6kMUWCqR0IHEllfF6kUa6wTe3cJGVx
BiDDNeuZ8Nl5cnN3XRXaRgc1Y4/eC1vLdhiNu7YZTnxz99AABDSqWE0663Wa5BeCdQ8eGBsiS6cQ
rA0a8fOoODc2wBtpTJdKEXDGxNeA80Ca88HjIFCVAMvyw5IcW6u9TFG0rUeDMR1EnVihdRzNeezr
4bJM8QqM3VsOgKfJdGRkcz4Pk9fvcdUwaJycS6F75dopWAgB+Qg7cQIiwvusMs4jqJ9eMX8iRf9x
FucpHYsCco1YwBLCCMIeZwSD4gbBHa7XI3LFyi7KmRiOa228pd1Lxp9BK9I3d+QM4wEjcmsJlQjX
/S7ypTwXDRCiBnhRrkLtFTijLA+1nV+MKWfOsOPLZefM1R+cTjs6iVvsnLg6EOtiLpvXJrbVZfAZ
nfwtO324OAR3kz+/jv1P8flr1f7+MqYe9f0yBkUcbckyfuBa/CZZ65QwcUv7uKP9pFh7v7h0tIEQ
V1UuvxpGvls/vF/oU2ewRdgE5paikn9nmP5k5PljUzyy1+8Ua+yAgggDCCTXw6Hy812sqjlq2nMo
r0VuPmSVvDekfSoseZtNnENGRWYhrz0WurWHgQvXWtFbwoHzdzf1IRsLBHF3HnuO0tqdAPDMksyp
c7RYE+Sig6lqiGH4/KySoR7beq0f/Kg1VnWc37eKK7OUlQfKbbpoDcwZFgC+GIpDo0GLDFzFpsnV
9KztxuZKAK5xUbMv7rCU59QwwBQ6Bin1EMXDUMgbCYPaUxQcJ2ZctLTlQ1yq/V2hckQrDw3snNDr
oo3McHG6VvGO1/8TPmltlRv2voK8oykET9jIy6IskYvNruCDnW7sfl63kHvK9pDqZ13RfOLPrbnu
/GhfVWEUjENP7kHhf1zI5tA0pywwWLc2NZSgcUF1Y+r+tYcfxPo7rnzBH9QO4UHCGJo1zrIcHrXl
3IMfmizv1QZHVCkukT/bIvBBFUHTuEkK2EXW4HF9m/TrzGkV16jf6J7gLTFdueqiSB5cxUHC/Xxn
RKN164NImozyVpYe5kdFT0r0WN8aiqgk3QG2koOyWIdVt8kVeSnMRtAcwjsbQJnmPiHL2MZB6pUw
udgfhSI4NSZxDWb6M3oZPnqHUeEmarrhPuqEuYbO+BRpinmR1LtGpBCE3QcOWJ91RY8qZjCdqFCw
h/2gMuJsVeOfXtUApwBIGmsHBJWp87csQKl8E79FFuqluKmtrryHLs8TM12t4bgvVvslqcaK+LV2
wwf8s18lFXxXUt1xpj+zjVxa/N+B5lkEmkbzHdTY++DO81Z2E2N/6YWcnew3UsQCBqsRc28EA56M
/b0NUeVUeOI4pOlLvfinpYEobkP3rEbt3MxzvZKCZHkXhfqqygDetlJedenC12d4iKPwrYldb1+a
mOA5792Hi8lF0eifGtPFVwGs3LOrIwMEbFKzU2w9WR6cyH5sYxEfgVk6mAaWe37meG4Ge8ATW1Wb
LnLa9Yf/GX46hC+QLVtzgi8lnNAh+mo9ySqFPLdw35ayLI/S6Kf1pHH1iOcExrbMkSAmWT1HIlRH
n7i9SR3bxyrSBFM561uvhyZiLNBMOlxXA4lWaVQJb1BdbsI8BaUFxZpve2ccZKLgYKkTB63RH8Ti
iUPjQXPUw3yHfcNaNY45k+LlW+phm5Rpt6yqptxbXbNPNQfcKFSqNCXAWudcRBfb6tbYoyFUWLEb
+JEMOgszAqboQLPsm5SocSWHRwSDk932x8qcr3yrvR9cyHGLLHYxA+pVWYTLqsz0KwAvj0kFnw54
301h9bdZNH7ysukii+VZhrhwM+J5q6JKPxFhOVqT2M9SPnSeOnH0peCaUpmc64Fuy2bjirbaFrMn
V0Y7XcLWvM3KOd9Mo75xjfpo9H25mmX/zbLD1wS+DzmhK2JNN03qIpkP8i0M7WnVZ8tzHiP2Wo0H
oj4tXmXhYkICjLbqjPqhiq3TpNXKXcCnhhzbnH0y+xRmzQcz31cUrLgigaG4WH9v4b9u4ciPf76F
Q8brPqqdZPf5DzZyHvvbRq6TYaUxE5qlrpvMeH+YHxm/MFq2v2/Jzk/zI12YBjlLhjsCPgaC6/ed
nPJ1THc2A+Nfd/m/pKoSxfvdTq4ygT4/Ewge83F+vx9nz37hLn7JQnGdDwnppXXbVOIIctqCokrY
C1Bq8TinEZsekHgPcn2Q2vCLRywPcamJFVeXhwm0fOZN9wOo+Tlk06vRAFcYmzFkJAvBn+7TWMxX
LqB6Dr5A5sJq1aiRx4QFqe6d9aTg9guUvEKCdFLc+9D1MaWAwjchOa/HjxFoAicfF7SxaTMky8Wz
tn2aokkprr4v45dZkfZlbs0bv5uh77f1g4WEyPgEMj8RU1wqi1jPI3fLCP2iBeOf+3rQGXD9WTAD
OxnfHKTFNIT8jx32C99CQOCUAjiEDPDfwMiYPBIH6CpEaZ6dyNp5br0osPQ2Vh0DJg0dhmodwHm0
lxNj+9kacAIO1KBU4VtBVYFQnQWwKl8S1WJQWNkuo9bAU/0G+oS/sh20auVF9ddIYFebqEOoK4Uf
iWlIwMT67oTGcgVY/3NS2+GptxOyfLZBsD5yNnSe6HeGdNvAIgm2TmxWqwpkBGDp7KTbzQDUDrro
qq/abksicb1YLm6p0K22+WyKdU4wbOPFsPUif2HYZJTyMgtvCjJCvFuPTTkIc21edxww2bayeINP
B3+6SMJNKWRyguuY7zBodvf4sZZPHMjioBJKiwI/dGG7YgA5ZtlL1bJ0Jq7rPEOBLO5kqzc3MYiW
g6e307nxQ9iEc14dSWBwndQsKz2H+CJVAGk69+2C6L4UInybvETzcMxrzaE0xC1WP30Tx2P9KGZe
+F1I7PoVJTr6ZnnwIAs15h+7ud9kTP5nOMZAV7jFDcoWIFuiPfgEIEDwqo+bBv+AxEdACstfa01/
1SqLQajMBq4AVdUrA4KrrAgWngRLmROaAq7wh10B3wLJNYy/yspQKlODo+wNi4XYVCnLg6vMD9WH
D8JI7t1fjRFYJCpllsiUbcIn/3YAaY6VQpkq6HphkIvPYlKGC+JRwaQsGH8v5r8u5qx6f76YE4rr
/sgFwIN+WMUFbh+y7GpZNmAJ/otsAL9A3YJ8/jEJkP9rNkbvJjcxVlVFEuYroRb476u4T2X2h+3H
RnoBUmj9pfvYx+zrx5S1rdLkDoZgxUC28OX/vIoP9SRJJ8bmtZwswUltOIyz1dAahPDWOs0WsR1T
ezc/uQYfRhlZX7CYnzsOCoGtAkjA1SzYtjj6gMfS51FeAIi0Kw+1MpjkcDUhzwQMiCqKSvq32S9f
4gT6bJHfZVa6K+fuaJjGXVNzYUubmeW4NiSTJeNcFuT7Is19lJlfrXO/wIg5ho9sLU+IYSxPFeZb
Zyqu7ci81kdn4zfV0c2bQ8b06rAMYbvu6ahZD/G0g5GwMbz6Gy4m5gKRfSzRMeq5ffMAyfhy+TTh
e1plBmBRk4zhysHdS4NNuBYTPga3jj+Nev+awQ1dx1m8N/qqXCGhMNmPCat2HJ7XSW1eZUVzzDNI
UWPbfmuGWF9NWsXxN/euFYeFIUBzndpDfZwKcE99whXOLSqANXEbrX0RhVfSqUTA/WFhOmUt3zxj
yK4Gy/2yJLy4dVjEtwZpoVUs2/cYp9AlrfKDTTXQKjTqeReX0ruWyVRsXHfkXYMYvWoj+E1ZgfmX
O0pMfYvu7NhVIKi1hK2syY1uRWTqqMtptGogW3EjVv7jcazocjFxMc55ujdN6Idakhi7NFap/4UM
uzORMePMSlQt1AN9mjECWDLZWqIOt9bI1KAtOmPXVWaxKc30jNvptHQpTnH90M3RApvG+xYuKEQp
vKKNJhMzmKFmbfTQnXcsZflGpDEgRUufsVc1/q5LWRnTqe13Pr5lXBst80QykneMHbxdX9vxBqxn
iqc2DIOBaABqmqnd5tSarYqFv7SZHIdpm3C2XqR163QevdVcRfVGI3lJlCpLjjb3nx0BkIfZkDd9
L8oNNMGZvET9VuWcMZLYIe3b+Nax9jlXR7qiVSzqJUqM8nWUdvpYEjNdSRXVmFVowwDzs8pVkMNm
s17FKtyR8LozuNT6vTeioMWjhaLhkgfJVDBEqIjIEBXaXnRUVtj5JgxLrkwEzlaFipaQ0ClW3DDZ
4VKCJ62KoDgqjLIQC0mn/s4Zi2wD+EvFFoz8iqA62Kys+daVy1sHkmjb1VD7cz8H5E8ubW1OTpC3
jcMIlN4DR3OHHeNF684gNZP4Vcf86yNLE3/kahISNiO/lbtoGcnOFNXSi5udlswPujbq24kjxVqQ
1SlVaGdU8R2fHA82Eah8oA3IZVNFpcI+lLLtE9N8HLirrbETPhRNenTT8mZ05VrT3Iu0X0PXOPWV
MzyjcbyPTneewDSuSlwkgTf247knlLz3fZorkhbDTpSJs8GzxbiMh8H61jA5gwGdX8Qo9NXgu58W
j8lfki4eppviq3ThMhDbPlTpfAu05szJCGaAOjWVhVftskQNmoeYI9VcUYDF4QOsSnEoJWYmV5r2
dp55C/WmuO616D6fwldR9S+1xfJADGMI3Kw9JaP+ecroBpGZSeRfVtFWx2OgkxRoMqtVTn/OyQtq
eS6HC2ymp54evsDVrBt/Urpr4ZYHzvb8n50AW5zlw7ruwJ+mYk/cD6KYFW5TUTXXCSdYCHQphPXJ
DxDp3yXO6pU9JAGJe+cFF2HBSLGcLqXRfaks91D29jMpP5qsCh3o1/IGm4AEfjXt+aPzbWxwSC70
Jcgd9ypOWWX8ik4sRl6Zz4FzqPS91jj7eaTmxEjgOCTjbdkX59yQyDJJ/tZ5/t4tzSs9qnea1ewi
kve8pwwPdP7d/hx7SbKWSf9NJu4NKI8O9/186Aor3vRuvtas7Ja0tMZegJ/fnE9xl98WsLT0JH7I
wb/EDpmonklmXyQPedKtiaq2jIslhRUzoxxoEEm+9oTEwu4bayTL97Cn4Yx9TJt30jOkh8hFACNy
yjuRtO3m77PRx9lIEU3+/Gx0r85Gf6BVq0f9cDjC56UbJm5Hnb4Gbr8/aNW+xfWSe+X32+934xC0
Zx1PkEe48aPogSPL98MROja0GGyYiNgq+viX7NWg8393xXVRi6howVxtM1Hm9/vxijsYfEcazZ+v
bceXW6HlJWB3gWEwM1EFT7T7TfYKsUzT1nZY1vAf+3tR2Dvby6gRIQ3GdiHs81QSMhpShlI9bmh0
di5Msym3ht75Vw5q4h7Wfn1rwPTj6NFpmIMieyfT6tlf9HSt2eJL2aCvkqS+LRIODPiM80CrB6ox
I/caNwOAx4pQdlSDpEKehDHnYWnsk6iE/GjcZiazqKFgjylCewPvxd5rLrKubYbyoGd96ZFlKm0O
MdkdzL73MWvu6Vyj8UrdK4WjEZPUpmPkE/NZOr++Fr3zymn3zm/4KSFUNgs5GBQsUcapzAmK+dim
eWlMSlcwJN6KbPlU9PWjnzanJJavQjN3aV3wyy4jmR/4LZaNOaMf7ctSe1+JvTNvnAnfcwI6YbGs
1pDwmzXJK+6rdGj5NCFmsUkHo1dtw0puXK1hQaufU9KLK1cd3ZK4aDfkqd+WBIaD+lqPND2CFALl
n5qNdyM/vv+aWgqYDWTrEEryuoF7wlUSN2O1M9xpK/yRuWt36nV/q7fL++J5ycZ2B6Ccdrt2W9Zm
KaFKlj3jQhqZyGBRc7H3I79ajYb1VFOQ1GtmFFBusBkmww7k/B66zoYay25thNFnUEDfejeq2Cfs
EgFyqba66PKLlxs3YTs7DOFB1dVpfYub4LNHZh3lBHdKnFfOulVsxNKhAM3oPqVpdduLQpB3Q+33
MAio2HdetOvYBAKuO7cThJ6uJJHaFRAMWpJpg1bQEenwcfWkzbkki7qA6TgZJdorNlUhsbBGMP2S
hjB6mBL3i+AkSOcUjh4JcOJUQWcnn7GgRER1qs/uZLZrOWkJNSYhiy8oNECZWQarxEowwvbInDo2
sMmKLBTf6N4NWeMXbhl7o6AjBJ/SGns7Ms4EniNpQPOYlnXKtfHW0eOX0jVDDEeFt7Glcy4cY092
g7bYyL+eSoSYXCON5sYQmGk0og9V7xgUo+2k+XRdTdqhrYghzmP2pU97YCfmWz2PN6nVQ3GMincW
KWK+UbGCi3iFeUxsMPq3q1CWA9ZneWPW5tfUwloj6xhj2fw2pv4Vc477BJPgurCXl5x0BEkgO9p6
dooRLkKE6ELnRVbNrRGBwEzT7D1dhmZP/GG39MSQjFxjckW5w8qPkvsqjuBwcgzfaHX2VI7Vk97G
jDwGyKgifS1JrPH2V1iFaT9g2G1eMA1+AjF/0qPh6PmF2IjJhghfH0PUH7BL+LBtLI+pr710BHvd
tDpXLXlpTlijyjM+d4CBwNKa/n6oXT+QEGD2o84Hr5G+dW1klacxcV6Sr39vix/bovK4/odtkTbo
c5/If1y/JbKufi8Bq4d/3x8x1hJ6tHVi8sLzPRXW/2F/NFlU6X5mbsuZBTvu9/3RJqzPYzz+A/hD
G4Xgt/3R+gW+Hw8TCAfsn0gOf2GYy8+pf5IO2H49QqRsjkJnk/w3AbhlW5dMk6PrCIeoNE6JFa9+
eGn+OT7+B4fB76XT1gfL8F/P4ZHG8kycbTaQR1CP/FE/78CFXgm/zucJzCEn1bj3t4Br0nbrFtMF
noaDAxziyI6wUrpxtJo6Q73z7HuKexhYeJ3vXFijYcJx4W8ufauB2ip68P4Xx9EENC6qJKNA1DoF
jHIUWO1GUe+zGB5Ty91kN02Qp9oqMjaj7ug7oMh0DVdjujOdGrVjcG5gy0W7Go5S0FdRS8Awyo1N
1FaptisLZrD3ZbvE36BaDVtTT7juMsMU2sbPZ8tI1z41RmKj1xZVkKDKhHnP8kwvHRac5rbjIt+C
vsIYpYM6muJns4bCNMU42nJ07MzPDubQ7Aaw82Pv6ESutKs+Hj7ZmfnQ+PK+zZZzVA6fHDwfGB/J
Z2aJdW5aC2hXc47j9KBHUXbQ25549OSccAFxZSk8rIzkRRNcZoKM61LNR0rrXuo0nQnBuw6Dqua6
TZx0T9PyuZ/EW+xknMtrE1wd1Gq2Hv2d7SkPZt/fzNQurjofOTPi1rrtpsnelWa4nOikOg1YSaYi
IweWRLsit1uyrtCXlxoVNbkUo21uQtNi3k5geFnaQ9gmdyo8sktLNstIy6iYVvUIUuc+NrFtx8U9
EvUpNhE8NBIhXyDqgBNoo3EtDGc7AVRZTTrStUWiA2k0KJiHT3VDMrXkEpcisWdQj8jmYMGKUlv5
m3ADT1a/Z7rJXhv6BocoBodi7i4Nbqt15LeHIZvmXZWLd8YGX/XC9nZUQRb4mwsoX3FmJ7d16RWI
JFZir/WMNdzVtaNPSpsLiPiSafFhcbSrTncfu1jb5XEI7m1uSQszNTDB2RXe7VCWWz81grQNNxIz
euGM2Z6+wZ03dkbQmLzwWJL2UgxP+sKgsaYMiPjg6+IMl0qQ8k/a6Wjn4mbhhw56eSm8GLSvjnCi
fTak/q5p06GylrOJTsw1mYts5S1Ht1i8rU0munVt7Lz6StUlDww7+s7rqMDMzoDGbqIw1blaZQ4s
Z/8ljwxg4PAE2lE/+1YZYT26buL9zKVuTc4GFxJHEzfWHrxJPlrZAAo5mwI7xiU4ELCBCT2viiE5
dVV24FxO0nfQP9Va/OB5xSPzSkwc41a1lXNGOza+doR1t6DJO8cm9Xe5g/jtuTLABgrQr7e6O2tM
j/x9JzsVr3hJ8dyZOSWeFUWhhlnDyLambD9phfFSjZ77LBlZYG+b55AuiDC7m+j6org+1zcWUD/u
uF0cNBopvFTh0WMmA6vGIIs48rU4D7WdXPWWytjn2C3kuq8d9Q1joMf0ylel3E3ovS2OR1uT7XzS
JCrJIB0K5RlUhHlNGsjyJR9mYNZ4IfMTfmFCUYZ91wm0VbPhrh0NNS4WPT1xWb4v6gx9b8TwMYAG
3QI4e3ac+5R3Pmh63IjuJMujR7f8JazpVJ0WTHxAP96sCH+c08wxXzloiZb9IKI643WcSUXP0Tnl
3g+LNbzNuuqtn/x1GiK6pIw/Qk3chw7vslm/yj7bIMvuh7T75rbjdW4v6TYKcVmYY/4Crx5jv/uq
gGp4vDHnIJVwg0lr5BcuHinlozK0g5nEU4olOm2Mr4XTTbS+20FaDi+DGe6Y1NdMBPtXfJnbuuVt
zsatEbpPeik/gWB7svWqWPlTej/l87n0x33X0CmrjelTFM+gqPiKTtNlCItdVGDUBXx013XLNafI
lym2ryr4cZ41PI346PQRl4S7DFsgfywWol3zbmxKJ3tdGhDSfursaJsgP5I3GEu95BDJKd5wxIaD
ajv3+sK7JnM6cKF8PDRDcuxMB3ErEbT5xKcm5P6mJeUNldzdvkqjJ3tu3BV4yb1dmBuWm4Ce9YtZ
8tcXsXv2encPvRcHj/3ioyaFgEFrL7smPrinmJPbR1hwrs4+axzTiFzQ6Ycnn3j5Z0LkR17rIFmA
s0PmPVr9fCtrwa9pyWMqtH1rO68hNZhMzLA1D/d4FALPs5ctkz+MCkl8I6zpG/ciFE+6MIWVgj2H
PuDb+a6Bx1mU3QLGvdoP1KLsOXzOZ+7yyEAGo7bk1aFKQLRY3g2j6rZlgfxWWdZ4IwxqP+j/MZmm
tc+liGFVCu+aqxZ3prJpTlJ3uU1gcN3ajvOFXAchZkFqfqwdPi+A9Rgc1iEXgyT/OuHvDQwTKlYw
zsYFRGH47T8fQtQl/+cjiE9xk+EolcL3IP3+fATRM1svijLUrtL00ck+Zf6bZf8XlPB/ewp10vqB
hzTzKXaynqcQeL4d97qvr6f05j//GWqQ8/s/wxE2Z0PTgY7983MAWZmL0U+ia0FQ0EM1QEidHsj0
/OenQc353dMwHUYxMemJdMW/4YlhMc+mmw3RdU8zbpMyHoWtqTWPvXUzDvrKkdy/7L+nj7+G8wQf
hD+/SgCu7eUfmUh41PcbBCQwLgNCBwf2T3DXv24Qxi8YMGk/B4xifaAIfrtBcO3QgbF76G82l4Uf
TSTkk3lnIR/Av1NW0b9mIkGQ+/HjArXMdYXuWTowBHjfGFN//lRCRImAQobWdbbU7swhqOJSPsRm
F14DHDSRBDQAt3tPqQRaH9/PSjfIHKumUxMtgRqPZAX/Odv0fmcF0i7EXowZm5TSIXoECSIGEVm0
5DOkpSkoTADheNuJqykdA0EjVcKGUjhqpXXQL5ZsPKV/JD5zS/LHIcoY6siodJJYKSaxgxqkNBTd
TZ4GRJUEccVRKgusm3JYdnQvUNqodJgMQWbBBFYh0HDDt1eJ0mwMpd74SsdJEHT8tL11lMLTMyvB
/WXcIDehGSkdCLxnicc6ryDrNt9MxCJki25daC61Tu+jUpNmmziC0pfyorxMSnAqI/QJpUFZEp5y
a1K6mtUsuGZFBGrxgC/pw3QylyTdGAhavRdSWjacqHrZ6Qhe3Fl30uTwgRDG/GhgVlNn63Yw3zvE
82zE7EYukVnwuURcXwCpEAHnSBS7yDAI8J5S4vO83hdI81OVPuRI9V1X3tatOMVI+PAEoVLaxe3A
W9orlV9MSVvuOk33tp5TH3W7eCtljGfUDc9Mkc4wYku8OmHpcIYx2lt9YvV/xa3PtUyaVVTeaks3
17tCR8qLRCaeQTCwgTlUmRhUmnBhGgE39l+w+mxdw+c06vGfE4pQmC3SiMJ2x2lz2ndzfGWVobeh
VpeCcIpURo1RQurNL2RbH7plutUH/dWkekVQwZKoLhaHO/DGpZ4lMabjqPpa8pjyF3AcXIZM2nJV
UtIWGBDt9haA5t5VvS8QrR9m1QRTq06YKPKuQ9USQ24ZQ58d9DG98nDu/E2nOmUW95ueVhY42O7T
oFpnCtU/k8OmzVQjjU01TQunclJdNS2Gm7VWxV+irFmgyczL1uOsxawTTpAmXxLU5kq135SqBwc2
LxM5mnE61ZGjw72cVGsOjqSbmRqdlviIU9Ork1KwY4dxBNnXcPH54rIEFQ7Jcp+rVh6nq46lrfQk
uMN949mItNk3SZVPTaXPIBkp5jg8szm9wvd6qvEkUa/mn8oxd1eGagZKMRy1qiuIi/K4ayYAmJ1q
EjKoFCoz7wVC04b74UFQOWSq7qFFc+j+VVwibNSPLgVFE6ZtzhDPjWouqqkwWqbmFKpOIwTiZwcS
IFj9e81xDjHlR5ovb2PhvNfWclVQjkQBUL9eHDw8tWpOIghzN5CByMCyRn2ya1XHUjaB+OLb47xK
Cphi1cQUeqqTiXImJuwnpwMO+LGi/1+jMP//8TUsVvo/39ruP5fd53+s2375vUCmHvnD9kZDmG4z
6/HB4Ch3y28CGXwesDhIZL+BNL4LZO4vUCeVtuR+dI0oxe37AMn5hS3RpvVKd2kVEbSC/gWBDKLH
v29vHrlzAnaOyZlI/So/b29+qFVO5Hn1dTnBpUJUZZxi5Hx3p/IpYQC5QctShucWyFTmcs21u0Nj
69+GSpAALIrxOCo+H/HeNIDevo9o40XNtQOSagRhyx57AD6J1E3fxpAErg4iYjWUzEAg9ZYbFyWC
Lt7Zv4mb4tFuEbObEYu0jTA0w8GNIgq2RPIUpuZDUSTlNVZqTQXi6PdMXLwfSCXHIo+fQivK4Gb7
t15GfHjqjXdyW/02MrTxoWz8PSamU1qzaIqJSIGcqB8Di1XV+QGh6mrAsoDitLOFTFGjp3Phtvex
pIWnnStG/O7CKMDku+ZTdxnJLzOsLcYO0bBxyRAD9g53UdLcg4CAo8hYCRM207U2OcBEe9V1SgnG
abwaooYVaYkg2jaoJlOxj6tED6asB23fZoFvL3chfo29rem8NH0ynPJkAf5hR1d+nRx9L2OEneeb
pdO+pmnuM37gZhbRpT0uZNmbkIm+NmQWcziqVfoFdnfu3VALzhiu06GEqSttZ96ltXtXya+GV31z
+XH9rBLXDbtorMvPcQ8nXoY4Biy3w5FuqvBmqq84Ta+qfICPn1tgRmepytvvkDUJthb6pZnSicoN
vd4kdgU6k8/wbqGowFo+6tf9wNPsx7qc/WMzpPvMBXjoNOGVkPWw9sIMJnl+klV3A+U+6Ch0zEfY
ixNBBd1OnnxLWrtyMvx1CFI58PNmuyTuZW7mZ6MqtlY5vFrjXB8Kc7gbJJB0fRnfeWbozmZOuqHR
r2lOxcqgzzfp5JloQPHF77XwPJjtm96GFIJh6TowjnReY61wNw3IFnszlxjdxbK1M0ZPbTrUV9Gg
UboZVfKWyADeVBdyC31fdQNL0PG+erU3HgfbXHEe3LY1O7YZbmfbHAMzbF98a4zBwOD3z2qeQrK1
9RlspxkFxuYl9jB9aUW8PJp1BQPCmEd8ve691zgn0Ojvat8OuO3d5Wx0Jwf29VLQsROPAfUU5YZD
Jz5/GX9Nl9o/dJX7dXKVicdb8P8OvsSeKW+7puIlbi9Q/rwALaQmNN2u8fRoyudBUw0pcLakfoVd
ikdM1NKWYzRvUz38ltfhTd7OfWAVtPMMcV+tnZ59HpzeqTFKsVmE07AZES6FrUfc+DimBnDA0HhJ
a0bNUC47mLaauJhja79jgsoeKkHEJR88tBc9j7lf/707fcxwBLfnP9+dgvf8H1fIyO+/35zUA3/b
nMxf8HoD91CzGMWP+2FzsnBx4izAqPVPlNP3u5cqtRJMbXAwUBkjDJNH/XNzsqA6e8KF2aT2E+VM
+Cub079vTZgrbDym4O3Aslh0c/68NXVhn8p8KY2bEqePyJKzG2Vrc5g3P7wyfzDCMT6ucD8IDzZy
DjMn4ev0e/oGnSY/PxFNJhnGt2y8sW3Ol0A4PWtjL/2xSCCLVxAYkOlc7Dxdde3P/bnJ6kfXaOH8
k5haj0xONlmrZ6ehtX0EXbwT5twlK80m5R2O7fMo63qNlM0VRI39Y5nf1zzh2qjzm0pAhNRdlH2v
MRrWyAErP2ZD3IDeqSmmtY9XdV3qkmpa28HlmJXb0Bm2NIB1QQ8ICjTIxAHZegJtcfGt3iehbD7H
Vl6th8m+p1nnTiumK02zrzqF/RAjDih6sA6Q8a/GsIiwjuuPfOPzlYiGITDUEbcfultbW6id6598
r30nc/0aFTPyIPt21rvcn+bkxm7DkwM8fgsQbO/4YUuXJscEs20fOVPsE48y0jyOTziE38oxzrZD
QT7bGZBR82qqURGV7ZDWZ8LXyysSljLtp9eWhx9/hm2s1WbQIGr2rv7YyuhSTUW/Arxw5zb9jhDJ
HmI/DcrY7PlFTSL8FBetY8O+1+Y6Xxcde6zrv/pdAUZ0CqBE44nvrQzcgAgYPbq8f+kuc/tv3gwc
Szj2/7J3XsuRG9kW/ZX7A1DAm9cqlKcpsuiaL4gmmw0PJGwC+Pq7sjWt6dbIhN4VMTMRCg1ZxTKZ
x+y99rU2DhTwFdLahjbY8OYbUxK9MNN3y8Qgn9koziQdZFvLkrultK/jGBh2b9i7YOS1TWROxe86
Yyia4BXnyR4R8j08ZwDUS/eUurjlYqj3XMbFpZPDwXDyMWwt/V0HLLGK5fxUpKlDJs1ya07Y3bok
A9SytF+MwvxisklZ55Oxr4vggB8WczwGcjTIdyURRpNXu1eetWDELqr3JRMvidclrGDqB7rMLCQm
m13MYO0Q3sLWiLZIDOHv8xHDgse1tDGmpPkMbChut4uv9fPacSfQJPqUp+NqNlsSH2wJaReM9Nbw
pdITsq0pCgf/1wxLOTIOrW19kXpwSB1jOy411d6ci/EpdyylepQGCxAnVc0jRVuYZ+bBEvbeQEDc
6wiu/eYzs5J7I9c+2OiS1E3/U/NpROc6YsPp+vUUyJDMUOOglQ6KXTle+S2jBw3RqwOCANXimKLh
jOUnN/M6NjbiOk71aN1xD6OGWiV2dwXoOBz7bi9l/0KeE2H0ECrGTCcXpL7OXb6yVpWf6dhQdGiH
pUCgDLs72QCNQUo+pl9cSUoTDCGLItO4J4FmN9X9R84UZT0NqD5d8UIOJKbcQ2K3RJFo+9n1Pk9s
dRZnztdeQfzEXLwW9mWUHfrb4ShqqLUaXXzVrs2truTVdr9KyJ2SkJ5G09q2RsI0YBHjzvKyfqsb
KMDj0X5VefH9VMsw0toWtI9AQ1PdzrX8xHoXJfBsP/W97l8LjcSjB+WKiX3WQ3sKF0bUf3OM/ixF
40uDnMpQCC0lk2PdruauP4yIu66z7Gh257Oc197K3kXH6VJfH7J+pX2unsWGVfA6WkUnOv0hZD99
+OvH/930+NeHDzzuHeT4DtrTnx++jcDSaO6wnEfvs4gOgd6zbXkFqvVrRfGnqWl/9Dgm6gSP2GfX
ZvT48+MEPXdWSvDI2UivCP0j+vMjiA+wNv/mcX6+/X59OXk9uQNp8sD3/k5X0CDHcgaAIGfXObXu
rbBqPr/Pf/2a2X/0nv34x/zuQYZE1zsTuN553HZPOH03417/4ofKSn1d8hlb3bOxXpVbc/9444fF
6ma8TrdP3Sba3GVHudrTLF6Rk7uKw3rLfzdPf/38TPVi/nwzm0rZiPvEsZj0fiNE/vCZKghPY2Sm
G2eMFjfRHdKha+M5PppktKyHcF4dPxm7aX3TbOXecdbliSHiHQr0LUDE9ben8u+YQxF5/7yQvE/H
j7ZLv3z8byGpfvB7IUk6qs0AwUS4Q7nm8Vn+PuQwvF8wD5oEnQbUrZSa/1UB2ZiLeGeJbnTZX1kq
UvX7kMP6ReEhfGYTqHYoQf+RCij4+auExRTFrYnMzsGqxKzu9/uxxFQmUCA8123dNMK70jD6oXQL
EMqiignsLL8NBtPKmZxHmA6wui9MQmYDOFWfOrc+tMjboabDkyUKPYfUp+sh1+ZQml11KqOgvMxW
JW+HyRZXVdrX78RoyaNZyvxiG7I94Xwmw6ufvA8Aova+tploG1kLDN5r+vqVL6Ee0LcHOWoEwdyy
2OWmIcOFUIg3SD4EdFvpgvnRTYd1kFR0ZDM6GPRYIOpcTOpmZjLARdmZJl5+LsshejCzACMRScPJ
Rc/wh4Lf9IxmOSwi4SJkruNTElF3xiYPOOgK0zCig4ZpgOOknj8jaQC733LRAwFoTZsezx31G9cV
2aZ0yDF71LLFKZEW5563nkzMjHiKiENDxz83r/kwWAd7LPsNIwAz9HC1t4IEp15g3KqcJNTHNnBO
o7Daz8CtmCyUCfQAlGRYHbQGKtN6TivLAh/UZYeZ7TxUBKJRFqMbvb2JXjCsvey9z4rkKNzIWq6d
rOkPfuOn4/2S+cZ2bp1qsdYJH0x5XSJmqrTdvyfCr60lp/Cfnwib4v/CuoXy8r8ngroLfzsRgl9U
Ro/67lFL/+wNN34hTZI1L7BgVERKMfd97hkQ/YP6j0kpEWTfvve/HQn+L1zxSLvRDeqwyTlI/sHc
k9Pkp5uFCarP76FW0W1msFjVf3fzNXE0MWUbobzY9ZNUmIcR3oNGM7zysq49E/YJDILy+cWx0UEj
KCCgxoOS6Je4+jptrI5LjKiGbOOW4td+zuF5EBXu4+PGG7BdbAx0pYrlo01SAo2hJmI+QL+t8BUZ
HAsYc/jFJz9hgeE9BrAuqDOrrbvAL/HgYFAixPsWMkafTs+RZJkwZuLS1kpsq6XB3tDj9wquxmTp
J60cbmo9QZ+u0Bt6m/EFcEA9CbgchUx3swJ1EJhwyubiU9Sbx94VHXGJmAHIyNjGDVC1QboIsyfn
zcWDvu8VDKQlmpFEg+nDrd0Pzw+yENMYCnoYIsFkvVRmXR3RjyM/gzNijsldosAjPM33oCJwhfGp
b43eWkuAfT5NLHg2FCO73IDY64DnxQO0jWu8MlGiMVguP1zkS5NC+daF2AGT+sKA6l66ebzHUO6z
AXOIogEDFWap5m4Gbbr1EolsDGBwCjgYHQ7iHdOoMb35nJICvnAGaLgY5QGFyythgKShKRYxMp/b
RdGJfX1+Qocu/fPU4YoW/bTgcKJIDq4STXxdhsSBRYF0s8sG0jOJGVkREDHtyjTl8Euz4CAQJ91Z
ufmI2wcoCBGfe1PJ1uLc+rTo3kqg+gmGh8Et4hu2jOK46GVLtJuW74VTb2Sm3xs1sFcLj8GqSukO
cj19SqUjMK4N/srS+izERMGs0BUo0GqSazWtPsdZFCFWYGfm6g+eBplAZqB0BkYlhYuSpuIlhhRA
1s0zaq8vnlVeRVoGDcRooKm12BQ8bfhsl93Masv6BBzxlYYbfHXs7ebARp2XZHtTjy+Nxzh34krU
TIv8GLR2c5UTO+OB88mv3MgjPphpM7HFl3KpvupFTfDKABDPdWY8YHlMjJOWvRuu9uKYeNGS6b5I
+qt51B4cLXntKaAZGwQogrRTM7U3uhU9TlV2miUa8CYyn+KSLWXSRg/R5J36jFdImLG9ZTKKw8sP
bioT1q0nH110+6siRug+aTTZxJS+AY+9l212E4sWMZYCIXnjrTTse4sbe1VGKRg540C+wtr2/WOM
KWFw5Ulozls8909qgBFXDv5W5zZJl73Vliuhw4zJu/nFGXx/l8VaiWSVvTPHHKjuRsMfrEx40TSC
V0jbl7Yrj1YwXueWeQA5+TRUGEZHsg3XjSUPkHJVoLKyzmrFPf7SNxJ6MaPlBWlZrr8zyfLb4Bjz
N/gUug0Qi3JLGN5+sSHQZaLMCMgU66kDUmOiJ1UnLqeUQV6UPZ5r7vWVid5/O4zzXaxzwRqseXVe
As6kO2t2r7MheHewLTBBch9N175GykqU04AfcpwFgAN1xLUEMY2xfjGDalt4CWop0QHNw8wcGE6x
L8mcMop+gC3Zu2uXz9uwxBdDt9+8kk17bPrXxDKwIIk1bctE797wsCQ3cW4Qbem9meSmbgwC11a2
KzazxfC+TE1wx/68zfHctf0SXbIGWXLaGg9VOuJRQtjwLhINZ9I4bogTgF2ePstkJGwm2bNR+rrQ
FG/6CgJRInTMxQ2xKWnnaGgiuqV8LnFtx9eLGQN/dMd6A8nk5PjtQ6CoM63iz5Bu/QqxNNgIe7QI
n1heohH+jDd2b2DkmvUytGfEXTcJYBsLwM0E6MZQxBt4rsdiMUnMslms9M4dgJvrISC+1lW8nIx9
gg9AR9dgVbSKqYP7Q6e3Hx4scDtpBKAE/E6mODw5lTbPZnkJFKKnmZ9KR94JmZ35PPAiAPMpgfpA
jNYhXGGLHnU8NIr8MwX9pQIFZLjdkbTlk61Pj5WJY8V2zi7oIIHglV0D32pFFfIKl0GNIg1BwTOx
nUIfqnQcF5yxcEjFvgJQ1CpSkQeyKM5crB2KYuQonhFQI8hGIjssinWk5SSjfqMfKQ4S1nnzgOE1
ZV8DJalWvKRcb5HDKIZSPDE4VFSlf6uyX6syKpQ/r8q2uGSrPyrJ+KnfSjLiGVDX0VV5qKN0m2rt
e5cGkg+nBJo4HWsiaitase8lmfcL/4yYyvg20P9WrX3v0pxf6OcC2Hse7B1GFf8I9ABv/fclWWDC
1YL95xlIAJEy8u9/aPbzEhv81EfeDUqTY9w3Y3XdS3N211k5CkGacTosSMm7jmzqMp6e6kAFoNRB
pdKasuTTZHUX4pjnMOkqeMb9sAN0EjKZY1apVybrrwIaeZC9WQ5BdlblgOvWOjJYSUrF5klaXKEh
ri7vATs8y6E28rsessIF0/0+kBO4vgh/L9/kWE+1G4IPfWSsYwNEQIs/gTZOzlGUpO45KWbv7FQ+
41cbNZK1coeir0P4sHr14Hoa+cucU3LTTUbU3zZal6RPAxcxeeu5fM7NIAFjkdf7NMHPwBXcXhMe
fZSDc+/EiG8jr3rSl+JhsPFm14l4N+HKEqE3wOAhMqeFtwqz6S1RIbpYRIgQM5/daXoaEpT9FgWh
BixaKzkC4pS5ty2EEfqzZMlfgdwkvVBlvPlMjvNXM3YuuS8JuxIIubT0ixl4D+VgfyC0TTddyYvi
+P2dZxGMBVC6AWctcV6j0H6dLVJ/c9S++sLUtlHD97LwH5rCMLd1BS+2snoNPLq5T/A5VNCVw1Km
BytBjesgK8Y+z9K90/MKBUJD1rc+Hy1h3kXmUK7hxsGesc19nTN6Nv0chvg8mYd5VDaUQf+iE4zn
Dx107siJNrnXQegOPsdJfXID79RZaMxSH4++tQT4+zCnBmQWT5H2xQmWbaFPB+IxbuIWmgGUjlC0
wHiREiMVjcTXvmZW66aAlgetfJdJMAH0qV74SPeIgWhPMcgCB66cO7TNPfrr+qZ3Mo26ke1pwGKF
fT12EQPqOK7cgRt1pU8tEXXO2CmSB4r7+mXITGDkcX/seQf7btgS1kMsnMOG19WberNU9qEc59up
cZ6Nrr8J+vQhw4uwTvXuqYyT+4QUylDow86IlTnWRaMxJu397EUPYAbulmbgK2JAPSJICHp+ms4h
a/DzgCVyBp8KDUp7bxuNTt0W+W52uKQWIyjWcoD8FDsddCjdDsmyXo618G4z4si3tQ/WXQyVtS7H
ogeLIa+c3PhC6NExHWDLM2i6djMBNEr3TsQEGTsdvy7ZJw3hHXYZ2kaGh1DI7Rz0t0Frv4xaoq/5
qo+rbC7ddTJYX8t5WFa5qO+HRax7pOeLijHyvGlZkRUNuCEfH025VHvN5tMZqZKuK9KPYjYXLkfv
xZF4r9hqHMY6Zw/VmgfaRCtkIHKVjJqJu5m1kV7a9lY22W0au6Gr5fdlMd7ECZ9tmXigPDMSVsvg
bMZVs3UL+gkpJLuqFjx5U7kP0lBA+lb/Gpn2q24V78huDshauOfjnn5CMz/ALT91mResy7J8KrHH
bMxguMxzT6yDW36qZ/vkkNTg4HqdQXwfPXty76zMFx5KS53pSNK8WZJUKdNhnKNImYODZUybmLjk
dFfj8tZa5qfGD6x9oKOjE4F3XoaxwnKW+KHdghlxUf+tgmR+B7bXHXSvvyRVD4dA6AWw53peDR5G
LwAyr8K1L32J60iSsLw1hkiG7cBSKRMC+3aq34yEp2zY83yMyxyE0Lavs8wcwzGqvX2eV9DTNZuB
29AgY9Tp2KCJvLNsK9dGR5aMHknnJp0chEFdM7EENZPQMpt7WVHAzL7Xbwy0DnlaTbxPKXhJaw5T
hyDPOUvENdz4w1xGr2U1IZ/V7HKD0BhbhMWnFbvdu+tVdGFRtmycKtpi8Zr3btU2h1rY2xySc0j8
RLH1fRo/zsNlB5H8tfWdbdVqkCCiXU3JfoeehpTNOg1AGjISY6mIz09jFEeTE925GLu3iEwOTWxd
AVaLt32Z+Tv6ZBCoqK7W0TjPx2QYvhCTCXpe9NbRBD28dpBFINqLq31SVcvjIkveGzlrW0dFPGgU
96vYLDkR+/FAvDv7OMNHM+mQMF4ExyhYTlq6lPjB6W+ifLkjlpsYUe/iazjulo5OLxkAUFP/n8WQ
PFQmq8gce8KWwRsCoURr15nVv7sN2LsSgcBu8llpzwZcOoiXqLWK5NynbOCjRQ/zOh13QiwntM9X
MFND9JvnEVbaxsoaHRkw7XbqtTeBk737VflWdBEDCS+gTSUdBOezA6DSnzfQw1hELcRG6Lp8Irbn
c51rCEvSSw4gFRec7m4QnZEraIuPAmlpXOr2trdshNGpza+EYxPKAr9fSvc1DulNFAw15kV9DGXT
wkuP8hNmNuKapyx+apICzmn0yaWZWpl8db2i/Ar455NjodlJ+hvxbT/al++RYwYbI2BZGZTFE7Zl
tv8p209T0+4WXeihVhBsCZsOtFN+KloqEeWWc7SRA8wwPia/g/MRXfkkneJOnI8ogoOwyeFuO9Vz
Obc3ZB0TBjuXGLjx8/CGHpvOOOGA/6IJ/6ucaB9dJihVowF4zz6QA2y7oe53nSc2neDfylp70jP9
aolPJdaFdiAFsss/B0P2Rqr8WhCSDCHFO4BuUp8aP153bntcOknnhvUtLenUM0Y/08LnGWEObbFp
f1jEl6wQRlzSLOb/zAE+ljBJWmKcbRKL1pAs0h2V2ysV2CGdCOCj0mGL7R4Xpy5xj6W3bkOERyCf
DYtfLiZ8MlF2ypla7ayyf7dj4LcIgtaihPBLdooqYgyLCy/AnOokhBXMvnXDrvmxlQSTio5EJU00
Z5EGVxjR0VW4zf2gIZP2MsdAJ1Du4L/Ql5q4ag2JFNHCbQZwL94CrWL2szDftlpGEmPDn+ZXaOOp
OzF+pqAEkbRVdnvwrOQo5+xrgsRsG0v/djayXb3sOibxJgbJuQqN6crX8oekGBGB2Ha5RhizyxCC
rWZyJMj0e7N8uXVl/Oa76RV4CaTNkZ7wZjWfgefC5TEl6aKCefeJr89DPDNWo397MgQRuS44xI4E
670VF3sTUtbY52HkW+KucluVklGlrtyQumloz8lY1zqT9qprj6gAJGq2VI7+uEWTp813M+9OpTup
FtoR++R48WQakrxwrOEHkySEy5Oec7cEMQ19rW01tIBhlZONkdp1iElyCKOxfoFFs2wqf4QGMsfG
pkBVbbXVRZJ5sWW/+7XJ2meyNxzANQZ/adpvAyc4JJ79mfDE85QGCKs9JSRM+3JN3UV0d4471pE4
azQGI1wnM3WhzsXWcaXx/qn3jtp8CFDGBwneXzLJCmGHU+/djD1BJoN3BR8uQNmWfTaCOcTzf2Us
M9VNLd64W+CjAf3IK/+xS1P72JMIQlRqtVsy3V3No7+3x+HcwOGnyEOCTiuxoq6RoRtVX1pZ7i2i
DtdgwpZtA7HBbop7E7tn1SNbdMpa7jl3rwKJcGJ2uOygb+2HkW90ZvKADkG2uV10qw7BW9sBRYNS
thMm1W5g5K95k5KqdJvjWMyceSUn6+C0MLkCf7zRIDAyouxvSyf7AumNJaoxr+Wc3tSxfuOgJC2q
8cY2b11GddrShG2rxcdRr59zGR/6JP3Ue/2jwCCK4Uzf+O1ucr0LOok1de/N3JivqSDVsdM4Gcv4
sMzecsiG4pUn+Jio1t6jFtwk2NBPnAqvdlmPz+VCskvdZKeJaOmQHIoalORyLUdyqhvXeBGjjpIh
v5Oy+pwLH6py1/NJwE7r1FeplTyXkhnovw39t4be/Evr1HX9R+28+pnf2nnvF8wkwBeA//xHhve9
nYfK4IIr0jkYXKaezg9LV/hDoHoVf9/2/zME+N7Oe7+wJoWWYLp0+/zYP9qwIJ37fTuPWYplsIHH
zvWg+v/Oztct3ICDM7g3sVUtgE9dXXSrGgybHWoQdxaVaDxwQmqmyw3t0/jXEFlLMkuHNCPIvHd0
GDNDqpf0VTGPwV2mz5q9ibTBzoINci8uU2uB8zaBPs2GmKa91ES46LGtxrKeFghcTS17kGBEzXQ3
ZEz28HTDNvMcUgsHNO6ww9I1m6h9X30j5ZBx2CgtV5sy7CU6sttGg/6QEYnYVm6xqUtY8LN+X6nU
RAO3/ArKyUnU5alqoiuDgMW5w7qMGitaCcElJQ4YuSJ6HEzjAAlIYPHod4vJw/Cj0htpuOLVOC3P
pRecqWBg3sUWPSwIJ6HSH9FGiJCy8NgSDGlOJESmw/jST0iMjZiQtlTHhVvP507lSkp3ZAKrsiaj
sekREi7wbXu3CHWVSTk7rQM9wdzozjCH2UBypSTCUrMntE5Ynga1qCoj48s0iRpBcgevrdmnKgkT
udBV5oOTg1L0NDgEuWcNUTtDDrtFpWmCx7lAo9g2HjmbUR7hAKPGidpIHOwkpxi365vMrO+bRq4j
T5xSojuTKauwszXIH5sNHvI3e6ZZa5Mx7OmURgJ4EV9p65FIHZtonVawUqAO5TZXuTsIv3JkgmTx
aFZ/Xap0Hobm2RWcH1re+HmoKhj5KsuHUX8aam58njxqXjvo17Tlx3EAn9Do7XOsYoFIfDix8L/0
Mdz+ieCgDJ1dXmX3wCmuUodSV0UMuSpsKFKxQ0IFELUEvqz1KTjrKpzIb6yPWsUVGSq4yCHByFFR
RglEicrKHz1s9GXWrGrR3GoJglBPpSLZ3/KR4CBlRflEpxDOpMQMuvVJV1FKlDq7URaXKXfAgyjj
bURSU/ItgElFMS26mZyEaIkUCzAEJlI+V56iWJv980SWk0Gmk93BcohJeapIe8o6Z61lTNqd/o1I
8IqRj5Rr2jyiRhW+V4VGWf1woVnKwdgTKFXPMe5xIqaanvqLzKncj18bFUJFtFKG1ZxgqmxEi2jr
w+OYcuMaOfFVNTlWLKmOCEA+V98CrlTUlUnmFeqxbdqSgUUWlmahRddTSUyTdcGpi/AowVXC6IFm
275OPaGtLbK1prR4Tm2v2lWkbpXxMu1zcrgGFciFvypYVyqky1JxXSzYPmUqwAtFJ9pSFeoV6LMf
BuR8xSrwS0UZlCoCLFJhYABqaIOpgYpuvjXIC2tVcFhNgpjwvMe6iZJjq8LFXGP6YMtzD1rJW7mI
eGmM6PW7Zf4qR9ozSJ5VGMWmzSzK85Uu2EBvQZxZVAwXN8r56OiWyj4ER1iLlLiauXbWdp3s83j6
7CbkpPVuVW0mN7hWfbxBiho2Fgv9fQEgNccf4PTwpTX9ayvtEwOk/bzUsKbwF7pJQyHLBExMBmb2
Ztz6k4aOd3DvbeyWh7gnDXfJlHnOzK4hexxnYubnPjsh474D1XEqi+yQ9M0lSsBvTvgEKtlewfS+
BVfzIHwWPtZM0YYL3j0FnIucjdBlgZduyNCVuyyvn6sawagnqZtp+kjCQgEpYyaq6Sifgo7d0FDT
mIyV4JenOZPa3uLrOG3Rieir0rfqdTCZ5TafGT7KD9miI/EcRowVc5CEecikBiMGE5JCjUooVJ9a
NTyxmKKYtvORqLHKnHvMqJi06F39HjB5WZjAjGoUI5jJCDWckQxGQ0cNbAw1umlK7zzSEMYEV660
mPFOwZzHYd7Dn0rsXHKLxtfeOmokhO+DrVDhXXlqXJSw7BjUAGmI/Olgq5mSiFDcBrB4mDaVEqdh
pAZQhhpFdcykgC8sa1eNqeTUYsb4t0r6j8GcLcCfrz12xUdV/YEQhR/6XiaZBoY5GI0I0LCQf9tf
fC+TTJMoa9/mPwZFFEqV/249UK/oOg7R70qU/3ocLOCOPjGtAf+DMhOx6z8Rohguv+kHiSNCFNth
AoQHz/TBZ6lf99PWAzaUZ06DH9yaJRliNLeL2LXfPMOWRtDYxknKLnpls9veES6AwxjqTLVecB27
WXDVVkFOU52/5axjZ0YqYPbi7WxztqyEVUzKX70cqslqNsMY3DHM/wpJlejKlmCYwdxpYE7jDvSL
0+wgq+z8ii5caHstLd6cFu6uorHFmbzLFTnV7duQqfiecm+vsxRYWUBWoe/CwQO7ipfjxmROlFJT
MSiFzDro854UVFinmvEGqmU1gaI8tOBrgM8ella+0zVe4/guHAUQdj8FRO1Ao6P2ceqPloM7V5zY
TBFj8bk2twsrZKTU1docDa6k+jQqzqxUxFkIku1GKAot0DH+WgIcwq6mrgJX6yturVQE21axbE0W
J4kNKdoa4m2reLdGG8N1AYHrg8JFyQOVxsZLZ4DJLaEMkcXAbLS+nRRHV4NQuS0VWxeW+EEq2m6Q
gm41UKWHurS5QBSVF4yNFbIhKNdA1JGdz3elkx+6mKw9fLlf5nL0kfDB+W3rCAkKSm4rJlLTHKiB
DONrb2pHA0iw7OerTFGDI8UPHr+RhBVTuFZ04VlxhieAwwvg4VKr5Avv56l3XpfSvbbJKh+LAmBt
diQL5yIVwbgFPdCFiLeb5Eozq4FmH6JivBJFUSdc3n0eNDdT7HiHovOpvpwx2aUgBidY1k1wbWJj
Pnp5Pe6IKKoPvC5C39g6iUYEdwcXKr8hgBxqwHNpapYmozPbO9E6dhEWwxTvjLlGeOlVrXmF8XB4
9mvX35Mupb/82zR+axoNFNx/fhyCYIDx/aX/3xNR/dxvJyLqWva8ipHxa671D3tgdLwIzoHd6pZC
XrAi/s8eGGuXimUDuQHQD86diaDuu+tLxxCm2rz/bo//gTTv98I8G5gesdq+gfvZRDf4uy1wP8Bp
9mpHngf9GJPRMuNU3f3wovyB4+tX69jPunIdBasduJ6DMJi/9+dD10B9AeeyE2dLYrDqKIg7LBWJ
ZVbWOVFFlDIATfndUqeuf5MkiffCCWHmd77uEJ+tl5NJgIeAI1ofmmQiepEi0Uo3S2qwNkF3Os/F
OXI00kS1w9wFAKjrS6/jLpkTY7M03v2UdvtohjOVlNMW0bARUmYcNSFvNT9/K2ZwSSDiByEOoLJf
UKAx9EyT27jvNr5ZHLyko3Ga2q9MgHeiSGVYcGLt0sYe1hrd2qp35L4ZmcQNXvZI6FZjdWv+vJfY
1Q96gO/FMsSxmaqPogsS5Eo20rXyIwK+hMJRECKnT4Dtu3YL/+GKEEUZ+pWSrJARiVhIf1O8Los2
mxVg9TAa8TEyzcd24tttpv1zXlKyJrN871z7ONtttW0ycV0lkwyDxqMGSyNnHdXtpU1xXnt23W/i
2bouY8SUfWfdFRIGxjIOL1pmEauCj5f7G6C82X/NPPpRPzVrxNM11kD75El4gcLGV17kTbZ3dbID
2LDE6ykbCCAWSJyN0ScXVyzPRlmzY2a9XA/avSPJ+y3N4kGWATMCP/+kgR5cmVIcArJ/bopeGmuE
esdOA6mqGw3Gaj++ivt3i1D2YGCCXgIHtqeGOXZRPUcL8QtRA7Ovjo1j6w9t2I/ebvGcd5Eiz5Jz
exo8+93v8DD7WfrVLxkyxra/hE0fPKDC/GqnYACb9CNtWKWifd4nJppsg2ieOi7Po9m9GVmmQ9Vl
eY4X8FCkOXvTsd+mvpJwWlh87K6XG0y2AU3ocEZ69DjGA6z6ogcrkbRqw3+Jp75BQR0P6ypCYGbD
Hh65ARd1Ogd+djEBXiDaYnAcjM+5zlwznd2vGcHnjpFjRJGYkqwpj1YaELXrqizadZylYs258hjP
zaWyHUHcnAV40/PCpE4kH9bpdcwKPj2yGTY+fni2tvSTboRBjft7zKoP1PLudmz1xzwumOZWJvEU
JMqMMR2+p33tNf8TUQeojvJk7VkG2o0pQg6HCd+tzU1vzflBfLM2EdXaRCCJWezjkWwenFguK+oK
PuWAmx9znAoHZ4Fg5VryoWlM7iDxUSLBTXNRrIpafDH6huU9qzxEXOwccwlTp02zZ9vuw8KNCvYq
T1WwmXYzietXZc1UX9Pu2yELVKUBeC2MSgA1o/RPgKxJMA2YqXQFVDYWX+vYEtjGrGsbHhC1mEYd
Rtgx303CkMRNV3svie98pPrUYLmn97IZb5SFICqESHrf/qxNw0n2kA+c4VPMNEydOfdtZWwIk7yv
iWSWhnYP9T90tfjJzMH7+g76F/0USACGHuGKJBEvXb8lbn5NptoXRtpgIL0szLs+3wCzX+cNs7Ku
JY6OXWgrxhsPwEnb5KAEEOCiJZFoaVhmZKS4Rpp2O/ftU0n67SYyu4+OpDyzmZ617sMZ+CSOrre1
bFI01hFEFRSxkaSIzYZZ0zb6OHtPXjxOu6ZpzXUWTyRa+aIXN7llvZS1rV2mhbi5sYqhkmecW6u8
tgX4RWJUdv1ct2ufBGikxuVT3nTbtpcvUhZPXaN9Qmpr3emDs5y58JptWzSfG9M4JK31ZYr8W5W5
HBRBrHIUEGqzGQ3TZvSZkRTptlzK4MEu/fk6LpNLGsdvaDK0tczBHbaM0yk2exxtFdt4uwf8bPIu
yuQhTessDCztOIzdy2DUC8tYZkCRcikKnh/5DNw96yDnDBi0wg27QSy3Wu9rD27GYnueA6nwrCwb
YGc/R0GH3773yj3fZj9sij603XHcj0YvCUontcZi/LeTQOqo9oA+xT1tKYtKB/JmYKje80wk130H
15IR/o5hDQWqFpERidJmcY0HSu2X1pgusdO6BxzEL6Ro18SILdHNX1+7FA8/dDrK0aZj3CSQz6XX
8Rz9dzc7yEuBN7sZzrUvGancZv6Dy7Mm5XyV/Z2z7ecqQj0WnZ5rWAYGdg+Jmuq6ftCSdV099SZd
+NmHV5k/NXA5tL8xp/3dQ6h//8NDwPQqCjkU8iz4YhJWCnb01RaXv37N/vBBAhpNj4rNMFXV9eOD
dAkJahlDurPVPjT1FZMxbTz89UP879vCS/XDQ7As+PEhevbcsWFP8mz7lxKuBqYdqpDK+5zNf/NI
ylPxc9X18yOpZ/LDK8ZszYGbyR/TMHI1KgQ95nEoWS9txvK4lMuvM5F/4NQ0GOCZjk2wlQUmTj2d
Hx6uj7NpaXtD0gG9GBBOPPch/n/2zms5bqPturfy3wBcQCP24T8YTORwmEnpBEVSJHLOuPpvgbJk
yeGt0rmOXLZMigHofsLea4fHKfvda3wdvSysoP/uNT4V6b/oTZeP+d5naFh2oHgbGtpSaSxF9g+T
F+AQKhsq21I/OBHf+gx9wfeZ7Kbw+aDYAEr0vc/gj3RNVy142wxmkCP8kisQoNJPjyOTl2XugvHQ
krrNgST/Nnlp6yHOWXCP57L1lVXpkCvg13etyEI3FlO7xnpa3EW9lp5Fm2W3TefXO0XVul03+xqK
tZGFdeEvOjf9Uqc58toUYMNkx286Zjm3RcdyDKv+RXZDeVdM6PeTKh2vZBCAg8hy25WdXzCgJ5BX
7QDQoBXpo7A402nj0Bjy4AYvBpJuHJJe0JNg1WjafYZ6Z5emereNAathEd7rk0Pp2NWb0YC9bPWI
MVIStlzDkp8V1RrQrjoP+SyiewR5xSkUU75pZ3ZETM1HF+W9OEcajsRRbeWuwopyDgaBjeCDsl9i
vGMhJXdljocvCOynomFLY5REKi0ZOh3AflJ2Pg0wn1YtKH+5MP1N4P5qZyC8DFRPgP1PwP+TG/nA
T/NEMDTF9JIQUFhdRjBt+NkkPIDZ97jCPvQYVMkj5r3UK5ekAT+Ibtsle0BfUgj0XIPlFgS7ZEZt
qlgkIiyZBbASDlaNJaKdcwwYS7BBu0QchD5arZzUA37RXLlWecvNd2mQi+DM0U4HZMx3on/xSU5g
Hd9fkJ3IdLtlnV6Rr4A4FN6VP1+aBb/SFvNNRRZDkukvQq8fCXt8VXzEjEUYHhLSG6wlxsEutZbF
HC2lMog9TYvpMvho1gP5D5xQBGpkxs5CZwDMwvGKJSzCJDWiDOZrsu+O8RInoSzBEv0SMcHzQYKc
Q0DUWZ/IBHmBEG5Oe7tFc2WDAFJgmTPhY3q1hkzeUMCZb0pDWHPn0KooE2Yy3J6+jM2T2qfENjO8
t02aP4rkC50J+yrtWYP5qhYyAUTjM5kJiywNJY0yi5vaJGS5d2rYhkHyWonSoH2NJrSP5EziaYVV
kDAUTGZ+yFHj75WpqdwAyac78IK7Kk+qHpQ3aY5wr4+M/egw9y4h0d/lod8wIIf+QM7TqjZjmgFp
ZYuGDG2Pylp38t+mSezIwDTJyzPv6tb/LPK8de2EoaQtLymd0/3AQHVFaoy6wsWwV5zaONtUhKvR
qVt8eBE89RrQQrLEs7TmBbumEsXRJF0VMVqddtGBidSxMlKke0XEb6llfKU/NZp/VoZgM0CQ2hj4
59qKEZwrMxAnIC1WwUT/VqUvYWoSHYoOVfCalKU98oPNPpdhc2C/W+4ThY1eGmnamdzOJeJUCW9Y
mAWH3KAdhWt52VdshGJJ2Mok8S7lS15ODwrfL8drrK8DOW5lcuC6dFadEP5OrVq2Vk1hbKcAUZSq
VA0GtPwYhKrtTUGnHxormEGMa8rWKCriAkjtsXBDbeZkOihq8FQqmX4l4ghwDda4vRIZksTA8qDo
gxuMge8h0P1U2XHwDpxzjcK+M67tOH6b47lFNSX1tv69uvh6f2pcKP99f+7z6V/uz+Vjvt2fmvmH
xf0Imui7VOPb/akh48BPz6SMveFHxOb3+3NRcbDoQA+hU/WwUvjr/jTB6TLxcrh6sdH+8ubiZ3gE
/CdVSn35Goilwr6v/62c08O0JNLFbi+zxAo3RZFG67HImGZcT6KfkchFMsQ27hlhr4ZYf/pkAA3Y
Cg0rEJfQAAkt0iGHOVE1nbFgmsjKHAKWUCloo1WR6Wamob7FpY4zZGUYaQQQU/HjXqwVXxY5Cz7w
Y1d218k6X9sk2REVbppDw62mVHHzjO28RmbS4lFskM593buRLVhv46aUp7BSw31A/CfIwcG4r3iR
EwcfVcVmz1wZScxwqxr6I4H00waTRX5pp0l3A4N0eFFz0wRLHofBS2/UIwtkNVuWywXDlMK/jBXT
2OB6DDEDaIA0nEGfrjVb+HvknMMpye3hUsPktUYh8Q7PHxLcKET9TNBc46YtOkI3RI26D824vRND
he4wzM1XZ07ltg/TgRkUbCkMattUMfQbZ1YJXl8cF2mnjgZ6YPYRZtsi47fU6bLGEMyqNW42Rqkh
f2sanLAMAOEYz327q3wVG5ZWApOSMhSf9bmcr8KZnfEqEZ14SThqj13VBPuJ5cGTbjb6mlYFVXBJ
6zw7WXfuuuSVH2m+R+aj3Wqg5FM3BiJ24vCUK9MuwssJ3O46mAgeMKOm2UqSHb14ls7lXNGrZhVy
DTl9JEEF0ytyw/QCZ1zz0GVFt2nA2+G5jsRJ17UUC0TIJTdJ6ghtrKxrRlLKholZc6VHerlGAVgc
Kb76Y9MkB7S4SF8cxdlUBHi9D0aY7pwyCw5jwdm3MmNbOUW+pUL7aoBmFROOhLbtrItqcvJtGeBS
MLAcr0jTooeYhfQPaa1YDwzWHrFciwuhQM/ky/c3Crj7U1MIxMp1rZ7ZswNIgm27DyL0pwVGXgY+
5XQTksC17psB2UvUjdR2s79pqqYJ1h8Hym9mifY/mSX7rHyro+f0X7Ygf0OWLKAiPKofu1/Oye+n
q/WHBnnE5mCjOQB78X0LorM60XWUKBq5x+xHLGYY3+Rz4g9rCRuCiUd/8gHT+4UtCO66v3UnIG8M
kx4JntESI7hkJP3YvdphVeejUk2ECJWlttHgNdqn0kZ88q7Oc24yBG6potnB4qaZd4WVJAOFwxgz
W7GM5MYXaFwdLLC7WuvtacF3vlKXNm4h/WdwdbeJn2RXUwKyrJotsSFaLGASrzanwrLew9JhFpgB
uIT8H22wLqD2aKIancpgr1CHmxczOtO9kqctiwg8HpM7Wjje4jioL0vI7My55AW+o+SIrTRf0zVM
GwB5AEgrFEkpKDgX8hxOKlx/l0Y/HciguXCKFj1KlCabRJEoYll7O0z9LTJ/E1AEo7RxhrQMCCum
z8TUoI2rRmZ1ldNBJjOUTylzpdIa84MddneaFaqMYdE3o6MuicGZlMs6tl6HnBFkVdjalmblfY7j
z4ilsTQbvZbtBx+od2nE0z0eAR9TT3gKYHjvuzB+a4NZfGIgj38KR9+mt9JqbTcpjQd7TSjZMpdH
vN2aZw2qcjDKUb0wI0RgEVQ6RFgcKrVtXztpEN+yo9kP4XSnlGa+Kozc2KpOcW1bqIkg6UHlVg2L
wTn7pTlBt26oA9vzKVEutJCmyZ5ISPyENA6jmqonx9aftJbgkA+uzVzXVn0O+d31REVHp0njbETf
ovkYrWI+k3QdqUC+diRMG8FO19yX7STuFNGl0Z5E5/lQ97k8R3jAq1UxOwjKJT8E/yzRlqPtTiTC
GplcCGx2xNLNt0Zfa+Pv0+trXSgYhPx3XXgqvhSv/zy6lg/6XhjKP1iQCvLRiEAAi/XjYIU1LXZc
BhoGERogVL4fXSxwwUkb8k+itM15821/C4/FWcakOnwdhxNH+xVFy3I6/jDlY6yy0FQoWzVqADLb
/x6YUBWV0SIaC6+qLiYChhwcPCemfdZEFNb0ToqvzB4OvsEiw7ecVQL9Itvw10CIW8iPaqa1t4Ol
BfKdumhX49bwn2kaY9VjJpIqR77pxj9oBP1qXoAghIVGkkcZx5gRwhLWOuQ0XNTmnOLva6QPzxIH
2BJqPAGgdbuWqpls3anDX4qygtAne+jYpqaxyU4Nkai5q4IaKmDOQojsoSGtz5j5u2rV6dNge4Gj
FtYqcay1Ored8mYSaLz9fXF/lS/8z0f/+Fb/i5hL+/HJhyamWTzylo1bB3DoX5c2FnZYsYSC4EW3
dMumkfpmYafv+dATaOSF0AAtkoJvl7ZBS8R0UuWt+Ioa+5VH/0PS/teAm0dfstrQlneTqSZhWUvH
9MPE2dbKgFHK3F7ajQ3HBf4HxJFQpGu7MuTW7p3nxg+GTbXkwGtEQBjKIWucDsukHYn4UySwVp5D
v+iqPeqdEpV1F5P5VypmZ1+VbGmHq3woL0tEsXd4oUA6hPpsA5WYG26VMP6sk2x1PeUkKZSqT6MV
sMohCiFfejNhzKSqf5SZlUlE/d7wlQy8iNbaafOJeKKYbd4IuwJbld5ZTUT8L1B47QDknZTAYOb2
QWDgx2xalyBBqQdovUCI4alprXW9hA4qyVR5Q+Vr2z6xNG9YwgnVxKofZmjRKKrlZM2e3iyRhpOQ
8+ilH1GHpb2cCblRKvhQy9k6dVMTFutSFNZtZFlkJuKExOi1BClqZZi0t4meAtEhZSU9Ax8Lxbay
+fcpaIqneTBkvCoBjMT1agwLe4/pXFe936/oxyu6DNz/+3a6xZaSPf/zelo+6tv1hKyS22SRNdKy
G7wPP7ykAKcZSzhg+KhfGPL/9ZI6yDThB0rD1kAJ/m3uD7GCeb+BP2WRZP+S4hKC5k8XFLtBhD+I
QZla2KwSuCx/fkuTnIVdgonyLHT8W1htiVRjS9C91lBKegOespr5yU7xW1bUmnzwWxI0/Dqs1qZp
v7RZemuTU7XiHFqTMK4yrIteOkXdN311kSjxkh3DE8sieQ2pud0kuvYZBUuwbVhIHrOq2mMLdom3
Oes06FkoT00yrbS6kaiJ44prakbb0ji7nACceVDWtt6u28GiN1Xmq8TqfBe9z43Q208SbLtrJvk1
r6aGsly5U0JSAf0e+GsV4Wn0yRGKn9Jo+jwEy5rVjG+aGkVljWKFEMhjpoJWiOd8O2FWPKmlsXCO
DKQuxnE2S2IRuqPT+F9KORwjYX0GxpFcI3dBtJL7BFJCRAgEw//a9BoOxmfCEhBZQyOem/oBGeiX
wMakyuyzgq2R3o+28gVKK99IKrGFO6cpDTgI+R58NTnBt30mUbzZ9H4SecOEgTAUFVGcpk9gAuV1
TbLiVPrnphs+s0cEkGOLi9Gptq2BJkWyUsFOAgkJJlblm+dElKQ4DvOuGzTVnWb5EFtyw3yJhWO4
VVundxsnvib1zXD7HJ9nM18MjUOZ4ZdPUWhighUVHhHJ+riZUO8n7ZM5D8dhYR22TfZeOPUJgHpw
gcPlUgJcWOet5Q0NAUhMuXaNLwmBqII7kdacaiHhOXYrD4PVlR5H1pc8sG8Df9p2yTB6WYEuvxAa
NYbyBkfyOFug4OL2kf+2ywtIakbvsDAQEVP+uL3CDJleyDG7Y5OgocmQdra2uPTWoe6Ha7tr3jON
RB+73lp9FQJKqIMN/yOorsorCzoINel7OFTNLfLcLYTIT8akbTGHIp1yzOMHmqAtiMbO8wzfVEjY
ECMXo52JwvZ7bwptVicUUm4y1yc0Nc0qzoioEpO+FUFxTBh/pXIhNcj62kiGQxxCFQprZlGSn73h
H1uCRIg3jezpFQx4/Qh6AFl9IMl2tYrcvhElSkRuT+Aq12opq5tmCrJ0q0ENwh5Ee4hatRP+OwaK
N9+EuR4WKYLcyj7Y+fjQWPVLm1CylQVNVSC3Sphca4R9kM4JBIXcz3K0sb7b/TpKVapOs73U9NTg
myPY1baXQjDeFe1oeCE6fhym9uzGkMbdMsrWbTFudGtiZUWqKbImh0AmVU73/KKJDYxR/EXKRV6F
2zBR9vmS88RKJIjTtcQ1FGdwrZwcT5SDidiYoZq0j1pVg/3gVhSoAfvMgUIdxRd2VCUALQQgY3s7
SDYdZcYv5KGt4+00dpvOGdw+6/aRAoWcmeJ6yhqUOfIpQ9y4auqQoE+GegzYgBVkVofNKd/JSr3U
W/naDLScuDamEW95YuCwLqeT0cV7MJ4gdIVaH8Uw8LtdgBXsPJv6tav7M+kZ6yY27tQoQMYz1UiP
bQv9ZO4ZCW+hCvquGpco+kS9NTv/rbKW3PA+27cycNzG7ncsNUdXqcydoeMDV+eeXF5M6ZFJpx/1
bmh0p8HOj9AVEOclKbsn5xP7Tsa4zq5b9NKTupV2dxVZ/aMqyr1vjBsUZLaXxCnn35izy7WKG528
NTea67OhoroM4l3KAVhG/aVvzUgpyDkV7UKTOaD2pMrHkDxiLp5nsaHg8HRF2xdF0yMhxzk3Dzo+
5/ao5mRVwVxkUklcRqm+pD6a8lZ0n/XIgY1ClteeZMirJearDIJrbXYuaDbg2s9KxDJuQIgNArwg
BSQpA0iqcBz3emB2WxmOV2w48bBNVzR+77qYyaMs143Veg15XJsoqnJ3oGuf2vKqtZ37MerAu5sm
fPrMRIgWi/Qp0f1pHZT9e9x0xDCrD2mXA+AuLkLZ9Cv0a1BTxFpE9bsZTF7XaeVlOI5oM+f7RBPQ
2fvkgRPYa4DX1IoPR1GVnwgYexyr8ThkIaPjLrPJJHHcVguPAlRjOC774uBoMG12fWPa+xXDWmLv
qmlZdDbJQ58qA7ElSq5tSEEbXGd0vFRlzmCyPCyHbGZrEH4BswbQuSehrqm1ZznPZw3rlUe5wNQY
nuZYM6P29erdbns2cW1yaiOb43Iac8Yk0WMRi6siEzf0gmTbFQaVX/NKmt+6VeXBVqZzY437WXB+
1TaMX8KZ78dJeYBUcJdGaFqHXF+jo4UQMA1nitfZNWbnds7Z26Vk2l3XLXYkkwSdnZGrEC38nl1/
BsIgPP5QT/2LOFn8U5ZAJ4KDAgcvWms2xD+XJ02FNHoiqOKs3WarJ3PTX4GbW2WufL67YTh3iLzC
bXfRhbkd1uGu2IQHM9jFp/B3D/rn+OV/ruVOb/Xr25d/FrhEmfxV4CJ4p80EUcbKnoaSP/o2OsZt
RBHLAs6Utmb9KKDXaV11sucWqRWOj4+y+FsXav3BYFVnAKPraNKXtvYXRsfin08QUGMIukxhlk6U
GdHPT5CuiAH5apKcNdVo6wNsKCCIUZ8ZCoaLxB687IMu0VVxxVIqWXciw4yT7cb9XvXjbQ7WBoXv
KgZTES68Ck7NO3R29VEdcYk8+QirsALlyUINFC72pDNj5Hhtxlm7K4VJLiIQNdBc51HBSitt8ezb
Ak5KnRxLdb7KLTInkNo8cMSjYAG80Dnjw6wOXyxyqQDd8wnYQe2CkYe/c4qd0chr1FxkjtXCy+IM
cQrze1RqbUJySXbFCgzwE3HnSzzG2Sn8a0JZFs4KLNYACcRqrJ1db+HAzpJht4RCM5rFM14gY+hj
joSiqHpPmka8K7GRerLGxGkWvuVlVfjUJVUL0ggKVsDIHMCDqm30kEitTtEVqKtWG+7I9A1UbgTN
xp7MaUMfraS7MFSXqxUXL8qd9KhWSHrs1h4frZ7BQGGjeGtGAOORI3BhaZF2OU0GonxDXOE2Ymrd
IP21KrvdojxuNmGRQepEHoDGPnZQhlbtLhf6vJ7CmoiOXhtXLZpskpO1Or/2GXQdnbKGGJbJiZq4
0fIqOhi2Yml7mTRKshEwzBDfJtqLVunGuusUNPUxRwkudIyNWLGY1Ic5aFnUoBuVREx89zi+RkAe
WL+St7ToHqkLLwpVDdZwmLZpm3C/meaplsqpURDph1m0Nsv0ZgxBBYv6k1CSi3jAnFuJ7A7xDpjO
0Hk1ygqaln2ZZyPVc9iCMYfvFAlP13ud7HMzjOcTwANysVkiJ2VM8qrR+3sMo/suA3WDDjzHCSUc
L5uD13kcIlQtXPKlXIipGXNHU+bw+GrzFfhfvTINNQGm0pLAHo5ep6H9ykibW/z1U5ub6whdDCYO
OgjfB8BmDUCWVLPYKQGRQKpDcGjE/xnzeUNNejasVBeoSb5KTfx4zmz06MKjfq2O6qVtMsJJAL2u
pjIByKm2R4sACbc1U+FFaUMmZCY+WyN53P5U3NIqEvs+MaT388YmlCvEXkZepaSrXTW2/Zb5wRcY
uymU29QFh4tCW4mvOpN7b8KKr6Elc7tmyrxCWwYnxSA3Do8+PR06Z7Vug7VvwgtlIVDMQAhiu0gO
edMWd78HJF9nmAwd/3tAcozyoPnn9aHxQd/mI9A5lvEIw0rNAjX3tyGmzmNsMT+x0Gf8MB6x/oBA
7Dg2Cg7nz8H+t9tjkXVwC9mCTabN2vKXxiM205mfx/fcQnw+VgEGIV7g0X++PDRfb5E42eZlOCt6
fQ+NkuBeN58ybR2SjgsAHR9ldGqcRH8qMUnhGx3Sa1XRXQnqLgPRReC529qqD33HsZpqnxU1Z5Td
A5cGKsHEkUT4w6CncJ7QmM7JdQFvk0LwBhDx53EQaLx0/XKy8mpt5EA6EWEBTKzCl8Km6RMLypP9
bLiaVMUdoXziZkpcAuYJZIAAGmr+E0oEmKCFGoM7Sz9YoUkKlCFbAKI91xAw0ZDParkF0Yf5yVAm
azeBu46MyIcTnQ6e2hLJ5ed9+SLi+XPQc+C0Vua7WplvOLMHFxDIroqVHXV5y/2Sv6g6XVkK2HkN
nOo+CpRXcSLu8FQYwLJ1mx9POuO1SP07rXKus0L15NRv4/laa637oW8eLU4VAzCdPP1+Eb9OKnk0
//tFvA2fm/bfJpV81Lc3kWqNWBnW9gjrAalYlOLfCzmdKAIKKJIDVN48gXj8LyckeeBk0SwJrR/7
su/rBEMlt9VkfPCB1vmYb/5CIWfqf1dYsUojH9bWOAwg/aB5/vldZLem6iU+gyuVxoM7q2tWmjE8
9LYVIElUziVeRSgU0SlJBTLKiW0boBkPu3Oz7kfnreiiE5XqHU0RwxGeu/Wks4FvAsJLHX3npN3G
an0vA3YyDPwzU2iE8PShsvnUmABxI95RfQRnNlbPuINOU9u9MdLzBql7hITHq0krTxQsrwQ2bINJ
gtVtgJAqUdbt4rLe1VIySwqYW5mbGVQbJ0q40sz+whLFvT30l4MIO3eqjWgbzuI5rdWNUNWnUO3N
je2D2y2rbNrWWkoeORF9IMKbgzm2MC6g7mCR3kk99pIwvvX7Fg46sWxej3Qy565bNU65GSwogIAN
1SMbU+HOzkA2Za7lmLjts9TTL+wky+1EKwqaM4G7M/l3kGVIuuzGtZoP5Hk18SkxMHARMpB4HAip
G3I6uni6JtbwjkcQzCE0W0DnQ3rfmjUrHVLSKFuvQ0bGq9yR+LgVpBVme5K5uKvCbiva8ToaI8Xr
ZmrFKRu26uy8awqeOEzZ19RKiBEc+SmOtRt4QswaAGmCitUzd7L0uzmLPiWcjjipgMA5ic20KLpA
ho9+WH1vwJDt4hkZmIi6yQtRhNKO69ddGz6GMV9/wBSXfIKFR0H+WmehISlz3fBAL70VMZrQJkUJ
y8RxwQMD3rAI4OXvUQm7mnzypYucHmDKbpDWjm7hlDnUjQ68u01mW45Tv52kuR5iPi5l0LRG/2Zs
UXGdi8J5BBrO770hNwPlFoVP+Unrogt664s6ktEekQKVt0U2rCFyctwbwGMZgB96kXLr68UlFJsL
9GLY0xFsryAXXKpx8YlGBg1ISrXaRTVUc0LwBr7QoQdjo6X9rtLUKyFw2Jnw3oifONZBt2/y8r5T
+m3R5KewKDZoziTeVwR4QdNLz7CGRZyCgsRR+ydmaG9NL3CGjVuY6OCTcmALuVWc1YnvCuBzUQ30
H7K/dZJ006qHar5s+5PP3GciEi8Y87Nm5lei93fs6M5Kxwyy5wIQKWTeDmxgV4DZF0v4h0XELw9o
5LuWEvoMoKFW53zSPDNLl9VKhry6s9aZ2r+Hycjtkum2J8rlVU2alzEGXVI473Y8dvsCHaSLJ19u
Sd3Zh1plrmffyOoVg1occ7kctwowLs8cdbCZhGlspOKQN0e9GIxhe4CkGW+y3mBs3xqbLky+FHr/
VM3d62wPMeh9hDSBPlxN3RLgzkTOnVomVhxHhAKYXS4YIgZpe1xCJ9YLvXYVjdgtV3nW7s08i62N
3pWWed+rSO+3IayubQcGinepytG72Ex9PKcLRs1zcjhVq6pHjrpj5TMRTqKbc3Sp5IjRb+VX1YCs
Ff0IGL84DhgIwqeanIT+nLTlDpSy5gJhgOBlJAbTNDOA/jQ/I52/aXzcrm0yHgwj7za1Uo9bR7GO
JmXHGjGtsepS65WJIRvd1gJjHRtPiWI5brho5wk1tA56wcMMgRChp2GotMXF59I3nsO4Zv7kxCCN
ZtA6MuxdPSTrwcjprlUVpGTd1jhGwPtPkHGgJyLTLJUTVcC14ndHMBKf+2h4pxAjPxrcUqON6ioo
6bAbfTyE095UB6awdvkcJcWNFZF30Ap2yzpVIiLG4VYV8aXfyAslnj6loXifNZy2TWC+J332kKtw
seaDmEbiIc3a84P6Jhk5elQSBWDpjukxDe2TmqSEZI3F8xDMOIj1msaD0qmKZlpskV1adjKvAbsT
xg0nFQ+ggHlrzuto7E6zOh2lOfouP4VyZ5MksGoKtd3SvHG2G+XaZoXlzTVIrdxX7qBfzmbwKGqa
IseI/TXm63jtJHLgL69xdiRyhysDK/yYOmt9AFo2OCOOmbEcgBENF5h4xMpxoBgGmn2OhvwEXztz
R7ZGkoKuyRriidtnSw6Th87pdiL8mxBlAsrBa5SuGXf3ftc1627IH6lND7ECGsvu5qeukuGGt87g
GWA9h/9QcWtyHxsp7zmgN2qZXuDoXEh1+g53+H3VR1slYtJNcsbCfr7qnfJGmsVLxEUH8ky9NGgE
MU35LJ8Mf+vPWo0Vst4HSs+V0ALlFiZ7bAyAe2lOZIYEbCOxT24bk/IzMpoz6RhXVCKbXLQPKPJ2
uEvpcDvBA9gZI8T0rPdUzanWMvHtrUIF7dogHddW0m9zRdG2lgidfcsP1G3C9AyeL16xojqATiOf
w2Js2oz3aU6lOhVcghxZG2jDAS5X7Zjm0nJRwwSYN/L0GGjiytJYByoNirE2VxkoiRQNoA9ZadIr
341tAsGM6Crs4gcFpuxGyQmx4JDjgANVMGeCV8J0rkTdz5T3OuusYnzNi+BRN6szaPrX2dBfR0vd
lI31VCTBUxGUFqi4aO9n5ZNaAFE16tvBEUc9BhsmyNpUU2bU9fC8LI46W7xJhG1BF13PEOdAOKvY
1JdDXDEBuALy/F12f+1/qZL/u+y+eG6at39T8fBR38puGmDJmNMifFigD1iMmd/Lbiry5T9TeaN6
/VHFg36Nshu9OvU4LTKIyu9lN0gmW6V6JzvsW7H+C2X3Bx7z5xbYBJFJhU/Cp6EakJ5+Lrv7To4K
re1wnmgobS/s/RiHvc16KJiiECjusr5MAt2b4p6NidZpsIYQH0Xtvpwjzs7empOLBiP37MUMmZC7
DWVeYOrLEe3xEA82Ctiy9mevDeoI8O1Y78YPydvXi2xqGsgbLDiQxfnTPOPB+6qXw/6AUKayAjFz
AX4o6+YC8+7K/rgkMwHpz0NhAWppwQgjhU+4UT8u17oPDPM+1Vicbgjg2SM24pbPCSvYlRw5u1Hn
En8fdGfcBDGGAi8ImOd6BKJBFgRRflB8J32JoDStJVm+CtOsqfeUFPtEn0UwkEImVWrGRJQOm9xC
E0/DPGc49IF2hiuzCoytOYXv1qCQbp0773jyDFyGQebZJX9GRi0zqb6DY8tJfgwDKNUOZg1SKjKx
QmUMNRMx4ItqU2cKQEUERnCEr2pVUZkrIF7WpkjdYQELV1yE+bPmLE6BuQgOZa2kV8aCVkxHTW6p
WN8Seza3eqoHuAx7Y9sUbeSpDYFsCZIFzzC79CpRoWZUkpyFsmdyDLrScxSCugJHfwvB6u4YJPBY
wMGDjWQQA1IE9kq1lJcyITrOmtPO1WRBVVPX7/bg+9uSZmNlZ3GPHbAmeijFNrYtiqw5SNIb10IJ
4xNfMxVVYRWHZOjdqIvhqpP1jH5ymK6l9Fn6yCLzmiWXrBgy0Ou14ayGjp18Ptd8mY7+lOasjIMq
5myuqUb85ZQuyB1etSVc5w7f/5YklOoaUAc1VjC013bEAHmetIqbdQKigYch3cyqHL2mLwhQMMbS
GzW7Wy7QyvPHPNlp7LpdxGDZ7vex+fXY/J+6qoui+X//Pw/e0rfmX4aHP4irljxVpFWGwSn5J7/3
29mJKUxiFUM6BdoJchLTgm8KSOMPqEpwF1BP6Q6I8h8UkOJDHMmxagppYwv7Jervspv8UQBpI6XE
V80uCzs1CSB/213GDrqlIZfxZZd5s2mTYLc1qscf7pN/W5B+KIj//rdgizAZlaLiIpfo5/O58iNi
x2czvmyLOErBlqo5Q3LGH66v06THelPj4xHahR04OXT6MHbT2T/2mL1vEOJcpxHJamYYXQyq2q1V
TTFdzengvmiR6qpBuB9YiHV9eIp6jM+ddqHOwzWt6Kmai+NY62d0nQc1RrWV9bDToOTKjb0cL2RQ
T6tIyC/aCPHGSiBvxjQWYCW79wjNJbxVi96brGpJGhcfjyJKriZygKzDoMzZ1h9Ge90qDSBAKfCE
dTO3RkI95dbCePB1aW/t1NQ/i4wYIgXuwTZSk9Dywq4qaW0mrNNFoQERccjL2QWS2Iu9psMyX/W6
c2lNzTRubZI7WJU4Ybhq9VJ3HmZRWeCjRLqtldkyt1oxAFzBPsulW7mdmbWTT0SNqZydSignPj+6
BDY4yUKhKdjhOQXIV3RpNZcAYle2Z5irUyM5dLiznCv+vkb/jLrFbo5iKvqCa1S/KRBaj1ehBkWw
YnIEWdSyD5CKgk9Yc4zHHn8ztP4Jb0Gbd8aexaVJPLpYBF0ONzJDiaGR98wUyFdCOeoR+8PEoxxD
DNfQUKsgmPa9MPtL2XW21/Izv4Ae3Dw3+KbHiQ5hGh2UNRVDB9zQHmpjhswkRd6AnTrEKp2iLDR5
g2MNY3tMmI4z0QIUZYaTMDHWfaGh6o0e0RP1F/zq+rVFR+TVQKnXDfJgNoBjdLAIkPRwJM/btk01
N5csk5qwF6zrqmZr6f1uMNDthKNoroMyps1VstP/sXcezZFbaRb9KxOzhwLeLGaTSG+YmUyaIjcI
uoL3Hr9+ziu1WiRVYoX22qgVXSqCyIR573733hNmyQGsRrZMq/Cs58bGZtGMlzBZ5yHkRV+TT7XT
XxrF6m6pzbG/09U1q+Ham/1gfs/Ddm7gA4q9UrmRpXbpmw3oxjxeOBINqzZOrQF/UW0Wr3XdvGVh
9TZG4x1a9rzSui2esiUPEJJA00of5MNod3PNadZwmvcTVVR+1T3LRnsoU2mZ9ArvH4x57fhClSDv
rRdPbpV5byYab3EAc7HRPRhm+JxMpr4wa8ZfTcfORuqnvZqqWF/Ug1m0VK3GDwVfX91oyTyzLRpe
zSXgwHUrTw+DVy/8FLJnKZczDaIPDL9M3kQGBYgKQWzDsk6c47XRkgEa2KDMw8qDzNHJ4SHQ8dsE
nnpukqw+9GWz89WBi5k22aRkL83GiKssZZPKTSTnFgAn9CNYQHah7VH97nGsuLFhXVrVP2dlsSdS
ii3Q2adtdw6ccJuomPkgGLNaIvw9xsosIuvtthWJc7+Sr2Ipfsxj5ZEAwzas412e2Fuat89Tr8wT
MCZ5khyYO7tlUo67ybJYi7FIsIHylLG1bhHSnAp3FC6d2Yh9yM6ncVNOWbYFK/Wajp5FA3KWzEef
AmJEnHhVOghlNe1P0yiVy6+fvD8JpSGVy3TEUwNIhIv//fjkDUYFXqiZhFd5GauLLnFGepnGeJ4C
fNo3qdbPrQ7GTh6krJqmN6Uo63NZxvKNPdnJLB+G61Z0dA/ePHase3loVmVgfs/iyCc+TwkZUFMY
tKO8zCeu6cQLYbkYNVF1G7wT4s/csps1IIxn4GCty1D8TiUot6AMCQaljP8swSRVuvWwUQpk0cbL
VoC2Vyo0zETNV3VqvY5JeqETb9sCiZnqZFu2dFEWOfZP1Vk1/Qj3YAzX6hAYbg3D0/QAKAR6tPLh
jM9rub7WxxYpKTC3ckDdLz1zMv14tD5E1XAbhZ0+c0yMh+qoHnUkErc0gVkPYXzoiukqgGYd98bK
oLwL52G58X7UPNgUk2P6W5IQXRh+sU98eDxWRjFH0u+SNl3zXqO5oUCyzcd6mUfVEbPbNZEeuuMp
DZibmUSLfcFir6pOoYZvLZ0QQKsqutVHnWTaED45srULaQeZDVygdjUt47gUPCIc9SlxZ+UBZ+I8
1SiQd/Q1U4ADUv5r7lh7uZQ7sm3Sq6eY06xQ8SS05IvjJFU2UiGeZc0+tMxvqpzQCDGCrJLihzFV
FTeiLYH4t3/UJojdtNkK3Fxkr0EatXc5av2O8Vl1SFjJbr6+VBmvfl6IkJ1nXophnEI0UWT5PokR
0S1L3DsFDdSGcy3aVmo7+/oIH+ek/EjNYptIMtMg62mjSHw8gmaSwbTpcrlKzGgmmcewDddhcU2p
DFcCDhazXDrR4utjsgH9cF5/Pao473cJk7ZAzNQ1STrQ6H8hPqrNRv6Ft+I3dndAE5iForUZ9zDR
N10LBrEbqI1NMrrIZTXM3ayavuWStQ8bXXapIcSl2yvPdqBb6MnRrWmn/dyPx52V6A8Ulw9bJcEZ
z9WU5QwrrGxhFxII94KSNCsbx007WNpznkXNkiYSbRGG4UvCtbooZTOY8wQe0T9N2WVLfWn1ZFrx
PLxt/U7dpD5Nm2PzSo33mpfSTV1VS7Pua1SvaK3JgbSIZFYoSZ9hTp9a2S0Z48yr3mALFQ7XapAR
6sQuWmq+ibeDWry6+17WCKt1EW4qXVqPvX4zTNE9To+t0eQUu4ii29DTiKY3IdplS7PIFOFyBQE5
eupcS2T697yYp6x838kj/3GUHuxgWGUVcyVv4grGydH4GNPZW+cRXuUC2Py8SrxDITrCDYtCE6yD
tj9cyNOwgCukm7ahMUTTGtmdrGYlYSCeKW3+ZPolvT/puSTmUxF9Q9zddgZkmc7QUEptnojU/WRj
sB48xNiuaq8Kk3ckKMYN+7o3u5TBPEDFLg195Rf63uqT3yWsvy3Q+tG1+udC+69X26f5I3XpVqcS
sTtE++zkX0nLclfe9atpY6zNvc2rx31R+5mxVQ7ZY/8rH6RQWf56cEb9uCRUQlviBnx3qZPzsbOY
DuJDMTdm2V51iyW5PmUn3VtLeSHfHiV3f98tiDp0T/wjuRr38mwbLr0r4V/+xW/zcWPz+yehySwv
SYSzjfpsqRvR2bFzRMFVIJ/o1WYadl91v299//bj/vjM+usxRG7l3QnjwKMgJkgCXq5vfrV2xvPX
T4+fnoPFnNsSOhoS18efnw4mAIGw5OUtnUqyCZXBmvP3J9S/lQMKl+ffq56Hp9e36idmA/G33qme
XECk+hWEe2Hvead6yr8R9mfvzo6N4gzhQ/hj5279ZrGXphqeVw2+nPeqJ65RDDp4E8g7YhVmU/8P
VE/dFJfXn/cb4UWbmhn6kEla0TZoi1/i/eVHs9lYq43iHz0nZTsLv6WphaMNbJ3WJPdFjK9+YJ47
AbazBOEuS31e3e1aBn2nCwZe7xg8GXsqBqxkN9AzMJuciNbfDnWU0ZB4XtMRRtOmDV5PFpw9L3SY
tIbFi9IW2A3t9qppCeoq3YMJpE+BzWCovL9CP3g0nWQusXm441UurzNWb37ae67lGcAuGiVftoAA
81BCPlPUB8Y+2bwUtMCauPC8l0x9CVv4e9fXb4Qk4XQJyqCdM7Zkl3XJ4+AMhfEJE+qdJGr0HcEo
zA12dDFNUYbgF7ZwwvATBnA/rPzZBnIYADtMDRlQYc8ptoKEWBfKSQKNGCX+IQeVGAlmYlQZdNGH
Kp7G6CRn2jALw6RhdNUMbsLqYkWOkTBO3b8A/aP/hZH4LA5sJDgyIfNEjm66bjxhXmLCK1O3UGtw
KOgsvtTgHtNUOYNxqUDIgFCVQEIGoCGDZoBKFMhAOQLqrcFH+koRsUMjt4PRCAxJa4DOCWvYKGDp
b+ENEw3JDeBLjRW5viBU4i2OlrDHX5GHx63fBQpAOoyetWBbar0tLQpwl2ZJd5aO12JsPe88CiZm
QJvxcvR5mzpJSiOpYGdmgqKZm9IqF223ocUitnwcCXuual8TanjA5tS3oLqB5aQgngQs0ExInR68
z5KKXzLcoJHSF8aoYEMF4ZPqm3SRCOrnAP4zsfqN6VfFIYwZz/NDxzmdPcsopHyMkMki9JRm0Qmi
qKqW12z8iEmp3TCPBHfUbjG8yYJFWqnAjfx2emkrWYND2NLCJtilUQzFlD42ax1GkE2n0T5YKakZ
ezDfqgKGfOUoV1lPZJCmOLzQejTM/S6EtOmjSymSeckAqXaCqBqyh8KdYiXrph4Y5fr9Bd9JvfHY
9Vk6TNY+xTsX+5k9lwWxtQTd6gmGKz1l+hrKwIMTqc/sdlaW4L2qQ32Q4F7xOds0BQOFnYLyeXR0
QWSxSgsbsWOe4SI1+laZ0NRYoAu2ylCNDKZ70LjB/UDwaqnGdo540jI/pPZs1BrtZPXpQy+oLZ5N
NMITJJfSGO8G9tvsjKC8YGKh3AjuSy4IMCSAcJjDhOmBwyAR0UcieDEKOJUdMZtyVgqaDBy9mwm8
TGUW+1bwZto8+x425UXVgk2m2rvOpmADQM0EqEZl4xxIwUEWBJt8RNTWE+SgtNKv5dzsgBZDvCFx
tLMFA4fN4IZaa6g4Mb+4469JOe0YEHw3wecQsxSPJn2Re+m4zaXxSRWLvFIBHlMODV7YsTO34dRA
0PEHzEeR1TT3gJe6fDkEhQ6ySqryi0ZbwB1b2R5lQoXsZ8p1V60JABmPfpwb26YuEv+U+InPcLWU
9EfPN1XvEBlhvEqduJm3jnevoEzgulC5NDwxfRbecz2HO9gLP3rPdbcwhEedq/Ch1dv1RBcLLh5z
HQg/uyWc7Uy/wfdidrcJywwZvmkqVCcXh/IpMX2W2cIjnxYhjyf8GIsWA71fWefKlLEx98ZyDOti
TdF84lrY7tF40BO6u1L48bmLVzYGfVoiiXNh2Xf0cNfGo+EWhfxEBo8K4QwsOJ5NpVdwITdevS6B
iHGtiTCArOIDoVAfhxjYdKZF8SYTMMxay56svMOgoOJ4sSBmhnH0rELQzKMBIpW6zEqcHROMTcoB
uQ8FdtOCvykP+wzdMI3XtoFCNK3Yba2kzj76At3ZwfA0YXlOuEo8Afe0oHwqLNhmigB/Jl2pMXfp
L6mAggYCD1oJUGgmkKEgl9NZpIZk2sm9j3BFtU5W3LRn7qGa5XUYGUzfKmvvYVHPBZaUsjDUZuqa
y0C90gOQWYYPsLeqKIGHahqbOUGk8kqCL+nmsnkf2d1L1ANC7TFU9AKNyp5s5xXTvVHazGTCI36R
1FWhqRYCq4qVZhk6MlxXG3g0pYzQWX2sQDlpJ2obMy3EWsMuOxuTOUGiCyAxWHBQXM2Onr9egF01
u9lFAvWaCuhrNg5LGmG2usDBtmGA1w1CLGwEns+aQk0BMU0pvMCFeSpba6MyFYqhjnSgZmONr1oG
p1IJCq0FjjZV/LfIcdYGmNpc4k89wLVNB8ISkG2q/ptC+t//lAOynflqPQn44CeDIP7SH8vJr1P2
P2r5TIOskXCY/7mcpEJXlSl60TF4izkNi8A/bOTgJBUdrhGNUyYgIv7oHywnyTl/Xk7iVGfKrzNI
57fgB35cTsJBM8A+y9NRS4O7UmO9kyBVQDzFCaZM6dIuzZXCRWSMMP4G544Wc38mtzgtU8e8iWz9
oOXNhiTrgkZ2r55bVkrffoi6epvkDh2Cqnz2pazaNDwIYY4nkfSsJkQAZ5kiUnnWj4Se8SOsJ2J7
tQjwpSLKJ4tQX96al17E/OxuPDoGBYODSAAGOAZLMoEj2UAq2G81lkQzWcQG5Yr1BTnCILS3xHwI
3dQv1UTCXAQO/Ui+Lkgg8li4U7uaSGLDneWRUuyKCgaHl30fRYAxIMnoiUijKsKNhjocG9KOZcJi
wfgRgCQJWYpIZCMjYTskJX2ZyCQrOfCGVD7SeCeRseyHXHIDUpdKax01UpgtacyJ3AftIxaRYIKa
itrtqq64D0SCU7egeiTaOc7rRWNQkx9SaFeR+myqftmJGKjikQor8u+qrCA1hNdOK1akWrov/HSj
pONdTKJUyrvvcsWSVJZGy1U1QrkTQZmZJMUN/bzxuqwlGBCB6YL6VeeeikJhsI0/qngFmCyTZu6a
Hs5A3ruNQD3lEUOXFH/Awo7jyc2GQnFN2XoJRjpSNWVcNV4kk5FicmKrPLG0NU7Jo5fQj6WhLdHg
WJUFHgazTVfEadhQgNLeaE3l1rVxIAzFAifH9xtk3VKXveeYynuqeqWZjr03yoYn38wpYuVdRCMB
Yjz+2z7oTFpVpCe5gj5TdbgzFRpnldp5I+RmHxi7dgtbrtul2gbmPuk1MBNZdSEBpl+pTZrvFAqP
sfs60Xyq2nUA2xNWBLDBpLPmNqt1vFdgkxOu/6uWQaQl6RtqXO8Y0K7lVr3rO5yKflDL86ZWFbQM
NdpjHmF5h5F9ERiExuh3wJg8QBCHwOKtRkWRr4pBU89QUVifYu9y9AL9y9+mMTi+oVSfkDWMOSVt
4ZGmjR4ztb4c7XTZNnXPECVMXKPPnsc6X6pdiLMKoBcR24Uf8H1GyZgcqebAupmu3j3UfjLK/aRI
iCYOnjY079DXwyaX2fOHLWehDfC7JEc5JultrL8a2IZ/JQT/5BDUXhGokXEaQSD4JHqMhT/UGFP1
I9bYNj6NxU3m7H+cxb+ah/blO+rylP3P4al5+0mLrfiL795T1CWSJTItXjqUjr+TPdTfDJWaMIPk
K54GmVfIO9kDoyivEMPEUPDBsGD9Bg0BZRz1/Z9jij9qbogeIlWBhEIFJFFrnm4fr8C67VuEZSLf
cn6qfB1HlzX/+hrn/N7JKiiFMhe3yZE4Q5X7Ssic71Q9vF6x1tJRe6z1aBtamB953Zxrqq+9EwGI
WvldgftbFfFHx9uXRxS/0bsjqpRfh7TEt8eoINFpj5Raz7i16QPM/bw+91Vub7uGehczNjwGwfSM
0NpUeoNnLJq0AYTnZ+bjoDrqhlW1GFWDY1fqXJtpdrA38uSOpzHUwUp+7aT4O2a5b9mUnnLWoDMr
B0ZDBeRIYiwxZhoO00WVIMqkfuiv9dikQJu+RsOwtKVfhPnKI8DvkoWIZlbVarNsItHiqeFF6uGo
tuG13XU4iDUacULm7KXHt4RPLPVsbAM9LJSRCYjZnz1CW/RUaGvsD6cuIIVrm5sMtvOM2eKO9YIo
VrmtJGxiXfbYTdppsIJ1Z001/Vf1inHISi/sLVibYRaYeb+UiqpesSM/5PTEXSxaBIRgOtbZJWdk
uTZLHowEatclqlBzngqd/6NNK8zIia/vG1kRYdaJkou6meZpq5XPFHjuTbM/oFrsCyvcDHFPTNa7
kuT4apzMeyXB6F9KGEJI6C1ps38h2f2aYDlb9IZ+GAodxpY27+Ji3/C2bttxg4n/JGPVyLwSu/W4
78dh39pgh5oJm4Jv9Lu6k++ZcC4AQvq47qZbYNk0B6djfBW22SmLmxUtIlfxFG9louEMLLAuxCwL
WAXhz627GLs6XggKYW7LZoQ1T4n4Uk2LdtO2fbNKoP2cRYHzPhlzY0kL0C5JXx2pP+qBfV23FXuw
IGlmQVAtmTNuvSQ8gWa89F0GkYWvBcLtwg4d9mfNK52dcEHM6Kz6/cJp05a5N53EqjmnjvMMqCRg
uNOR7dBXfdUtqZGZUwoySxUZ+SGnrEE/pV6JDjnQdtEkcXc9jMG16Smbqm/ndmF/IwjlDpZR3RQi
sEgd/vdM67iaHPQsYiyTl9C0qVMs2r3JLK8yYhalrgA0sJwNQ0t2VkDeTAmaleefCPgedKZVpZGu
BtlYIDm67eDROpyvK1SWemrmRi1dOY4zV3tpw4PiPNp+g+oJH0DTvWXpaHc6+0aVO8QtxUIyM5Jx
zYQ42VRJtixCv51po7SN6+mGBlUyj0lzFSJCRAiOUdRxWXsRupStQvOMniLLPuSsJme0wMZuXwMU
9eo+dQ2vs38fVvz70lN5BXyxMXvLqOcMs5+89MRffPfSo+9K48Xye2cZf/SHS0/Vf2MMYNNhSIew
jufuvy890oMyKxS2SyzGeKxrvCr+2JzR987oSf4PefEfbMwMU7xw/tT5xQtJhAnR+nm50oP2eXBt
JY1vYxSWjgr58bYJUXX16c3r8VvFRkKrEvVKeGuW1Y/CJdie1bUjWphUq5NoZLJEO5P/o6jJUUYQ
p7VS3SMPUuRkSHZDN7eXUioL9zMC0DqrVXta+XXPv7H5XIFkoZSv6u0VKeGBsJ7kLCtF/ZbRyPbi
lwm3gToUyzywyKDRrkbsgfV4k/PfapQoztpYrR4LnFIELYiATCCFtn1mbaOo0mY9tmZwuYyAW2nV
qu0zmEao01T4zljeYyIWS3dpPIx+7iCNGIvA0bsrO5OpSKhIKdKOqq2qceQ2Y4uIbMZUFjgSdyBY
MxvP9Uz1qmIxYXMhwVefojrjjTU2yUNnG+NFUaCUE5mjWuEKykMwZ398BpsAzUJVDvA72IT14ZH4
2Esd9kuTNzPKPA9HuzOIr9gDbhKKiLcZhbwzQwsH6g1qeVEbpSY8gzyT7UHO+czwrfG1SEeQh+PM
8B1MhrnmNiHdEXptIOjkw3myI2uV1Xp8Hjr5mBdBsHZiyXc9RoDAdKcpXErSPPPgh2VA+aKo56Hl
wVKZVEtw7QadnifbknjiB2SlZySqvQvVCcWq+wF95cLONlnVdau0zsOtZ0r2IdTp3p81jneIwZrZ
2UEpW++stAHZI8B3QWY++RVek57KZDCEzkOsNP7Ca4rvMu1tLoHSfSII93Y0HhP0bQiS6fdgMuYM
+Sk+SlG0U0u3aHGwqQDKYoxknbmpOkq/VIOtYxeNF2ph+ZrSdKUH/MOpEFgHowV5P4q6zLAten4B
Gpu8cFZ1vaofOqOQtqNmuUqOH/xk/CCBVgjDPKMHSuDUmt56cDfNnmg2Ux4utCOmaHNZlUa5M3V6
OqQ8Z6whGlPsqV3BRXgUe71GZt86SkO97UnoQVrxFVDinn0VU0khpc6rKtUwnNNz3pI6krRDXVi4
VFSpuBqlcNyooveSlOZaMtgzp+xvb+TI8xa2/dZIwy5MsPPo1n4McgooomBVDuPCRLzlnI/2mO0N
UCRTJ+0MJdynAdJf2BreIbNR81Oz0Ejz+RfqXXwAprxtom4dl3xJdmBti57lmBRZ3oyRwJPf9tyB
ZngcupySrIyFkNR0KR3SpauYycZpjIVdVU9phREdrxuR0O+mBRq9SZcV7aTEkly5Y2vpq4gk7DeD
ItpYsBqcHgiJQmA0aHB1oI7e2gmljHp7S50XFb2xk5sMIx1z69nT96JUro2p3VhQ8LQ0XZgNdGo5
GHbw2l1yGE+Bqa3MqlvU8JVoOrRPdZxd27n66sTcw2mivTXOeK2TXZunZXEYy4nCfp1MqOZiRwpd
HQ8Xviu3m+QC61n6ghX+BqYPdo042lRtcJry4ZgS8oOOQiNhvrbS3OVBGruJIZ/TbLgay9FVcehl
XjsHRjOjQmEFYXENBMtNC9Ck9bCUDOFsY3Vn2q2bSMVaApkcB+BbivyY0Xq3yOR8RYEg6+jWP6lN
QhmJvx5ke57m0p5J4JIVNEqtCvF+cEtuEUI2rlcpc7Q9MDfJW5W85V57PWD7jWx5PTKhJAr3zWAW
VE+wG3SOgUaie+qR6eOlbsyl3hnI2MO1Pjg3SURJmJPQ6Zf38irVK9fxICEBhSSGIC9tJ/0+4iLg
CbdkVEp2zJ6bNtlZvw42iDbrYaq+yUqznQz7YprFNzuor/1uPLfpazYWb6UM9I8gxszSwiW97Mua
0rKYvVcASdHXgjMZ8UPeadeqxwhYIlJXyTOZ1vlClteS063tmrxdkFwiI983hnJb8ZtacBJnplEs
PAnsg9wuuRWvasdeKlq9pRWNA5YLv+ADG7J6npdeBlBEfenb/Bs/itkwvQ1jrRfwzun5JAjrAih5
qrMa5UnaUfa+mSQLg7VFAU8Vs3TlJREUXukyD0ZBMi0y3d192maPTekRjbE2jPXJlujEaptqnUEx
koc0p5aaKG7Ufesr+T6vouucGJ4osAs9QF40yfhZs7Yag6vToqmiO9PcuytwEXZSe0lCa20P3tET
RHc93YIEI7iMAyhroVVSHEcXPFODflb09jmqnL2mDA+FiTu0QoijVe7Wq8xzXdXHrDauwXHLM0Ah
lxbZpSuY1VWT6EVL9onhg60o5VnPELsSD6op/zbGDVk6Y1XQdNMiSUbwgupeLHoyZhnZbVWMW0XN
d5KqB0fJQ2wjK5VcarIj7qQ224pp8NTTV9jEvHiiV0aCt1GTMm7ACjlzrOZBx2itUpYR5f4iDpVX
M0XkaspvcRVswD0eed6S0aliVON6R/SX+zKxYneSlYfAqIulo8U3adXAbxniFaWrpyi2KQeg74AO
HG1JXGHtxabbq1K6CKfc7UgJWFTXucqoCs78wgiyE5PNVeQN2yEbXwsJV3kdPTWVwdyf8WPq0WUY
dRZ7L39RBVLmMn9lt9S6acJLYnCydSfZrx3lBRBQVn5nLUnNLxDveP7UjML8YaKIMduNjb+rGuMG
g4HIAEOSp3+8gTAlBb20zdhHFzLDHaqbKiUn6t4cJql/qKvihd0dJlmqYr1kOHQ6ymUq8/p7t6Q9
/b4W/J+sZUsOfKD+v//9q2ZGSa+iIthownf12ezU9FVVtWEmHeWUaXc8y+Nr+jN/4Z8UDszPy1Cs
XWiTaD+29qPE7J1KgVFDNvHKSMfBfq6YGLcPQ/7d1+Ypka+vT+dnC973R/rkBc29fFQg9klHFZS3
TjOjBYJ72uTmXdQ+hrn5C9fcTz897iayKVjCMEl8kl8YgNtekvunTnps2l3pv2TJyz8/I1bLLJY5
jIa29vEQnmkN9I0WwQnedNSv2nFcJAGqiL8KGTKozS/ArT85I8oj2LSgZKGimmLU8+6rEqYJdZSb
8ET30SzUyJD5qyL+xTl9VOJ+bEs+HET8+buD1J7UGKbHQaKKet1qHznBL5S4X52G+PN3R+iaqemq
jCNgEjHxQMf5jYfh5Ouv5q9yHxftu8/q01dTxGNcdGkdngZJm+Ehd8ITPRo84B4MzOT1USVd/vUR
f3ZamJWQLw0TM/JnW18c0lmRRUp4sspzKfsuLbeW9/2fH4PorambGucG5ubjR+cZGoUHXRXROxzQ
Hji3styl7uTrg/zso4Otg0aqKdSxOJ8OQiuqZYUhUO6qeMjMfcBOMeJh4HiXqN3puEd67/z1EcU1
9ekZxCPuzyN++rJwS5OuUEZMWcyEqGDSWEB9fQTl47cj4siGYhFYVonmmdyvnx4+oPrIxQ5Keor2
jCo3vDwPuWssjHNwbbjQ6ZfQppdfH/PjIX+/k96f1adDYrdLB6Ke0akzsVPT9KbSI6DmvwtAf6sz
//yzo+NZ5s1pmAL8+v5uMifqLxs84ycKX10V/w1wy6/PQ3z6n78dzJJcbShkFnOpj0coqBnDkki3
ncXWd7RVVpuPIcU+fhT94lx+9om9P9KnBxw74ryihCk6KcZbYJ8N71JOv3i8/fwQdLopDvFM0uof
TyZEUrT1yY9PWXY08DEPoTpTW/MXr7qf3UJcbP89yqevPq66oBl9jhLGL4lEbERaVPrSiFs3bk5S
vEqMX3xHfzktIvKWxRgPlwFTHv1T1Sg0NKtIrTw5Nd2qrB57c1FO119fBn+50D4dAi3t/YWWdT4f
aEAJVk/hiCJBjoiMX3xsPz+EMNgyWXLQ2T4eIhqGVErYaZ3q5EWaNibtkV+fw18uZc4B7CKjToE2
xkX+8QA8Oq1eEUMS1nlpi0s22oQEHzPn7cdx/lVlVS68L1TZPGveyCn+1TEj/t5/RVna2ZgZWlQW
8NDSBBnzv6IscCRgEJbMmPI/3RJ/TCLN3xwq4titIcha/LQ/FNkfrYsOLw/dUplScqB/oMpahnjE
/PmwYzyI1YriOHzcjKoV+h8/XiFpATdyVGzzKtWmbgm9RZ/nsvVgUQqYW+097rDbeDp7ojGqVBYq
FYJt4996olMQ8UqjTCeel9QNmvuI6kGtj29T0UWoiFbCkXpCs0FMxRKwKSgulH3om0Wbo/NWHj1G
DDYYjT5Kou9QEc2HoJH7RSTaECdqEfuwMte0A22znlVmpAX3KVtvMLoPE9vzpLArtw/LpzGKz06g
PVWm8m3oaO5CojlgDcvdMYihuZTRjqGVPzPSvLsfZfsxxPy2ywrFWyi9AU6piG7jNnmUR2va6Cka
Cy0LyKTTeirVx65Or5ysogDNujjVCujwonRI9cAOvm2D8MEOpXUv5/d1JflbSy3mTq27adbB2SRO
mIxXwxhe6e2EYlIJ43nwmhfN0W8yXKlmf+WEvTbLQ3Wj50uE61kwou2oFxHSQcJq4odSDcoZv+JK
9KvNGqWbJzrCQ2PQgxBHKptr3ZvlRl2vO9PJXK/X2EhKezPNe0ACVkdWp130eYQEZu7xYE5LndGh
2yUJ0O3ktWLrN2/UmkLZSl5V5hS4RteeRttZgyoxZ7LXZasgQ8QK0XmTjOMlaC8GVX6OVT3L0xiS
TmTVZE/znE3rYHq0mbX4xBt44IVzlTLENSOqJDDR7ns/IFBpzelpwuavI4klMhOrLKBw2EfmYsbG
bCmJiQ4mFszAMITGEVoFF1sIEKBJsYQ21hPSKX1FuFnaGgUKV5AQ/s+9ZdaupbDcLbWXUY1KVy+j
60xJo3nANycV2q2Bu7JMIYDyorT3JWX7iZ0fimh4pFb9LqjrZ/JUOFP60ZtPpoldHRISPYGYLeOo
2XRjk887wu7UvQm7qOW4YZCePQzcbtwNaxBi+bLysVJPo9nP4nyjqWGEnxdlEodOXhRHHfJLbMor
Q0nQ5hD5iLShqCXaBRzKI00Au0bpD/mEaxUFf4v1eS+nOUNARpSJXGzszn6OQKI6gY99X6W1za5v
+jq8MHO/ZVO5kbN825LTgqa4iWX/KMnZY1Ynt2Zc8qFO/V7Xqp3W5oe2wz2FMnVO0m41eBT5MXXM
pn5dOPlGEa9vmvQR27a+jjBZjdquSKCQ1PJJDvRk2U7V3PObb73FqL7Wp2VYgfZrKWYbJ2tbOeq1
ERa7OOyYvo8tZ5i2m6gjnCpXB7+wkBw7xhHwTRhwXOq8vvezcgdG8tAGOkCO8TqTE0bC3PRxEix5
Nd77sbUy/JxexdDeYOYGMQLQILSag5Y5gnKi0RPtb4D5nFOp84AIlG7QVpvOkb/JAyk1W05gYajt
dR8Y+5ZimhnJ54DZf/qN0uq11XZuMTZzQFQSo83soCXm42Q7q16iLdrpl0nYPWR4q2pD/j7VjEhD
mqKn2vsWyizEZ9ZEKdy1GmJIh76aqEs7hzUyDpq2ZfZORt9MdpBO9roTb+iPBUNCc2IQBEe9S3ae
P/YzJKhDT0/eInSy5y5siLpVCYN6Z1XmzlVFXtm1+2GZlrKyCA3lLlTa/UBpgRZLOOmiyyS+Qs02
nguoiHnt43fud4ov3Q9yd9QU5UqOMSKbFqmBsX9SJWyIYeEjQZfwLBu+i0oxllnrh6vShieuaYfR
SRsUomod59EKglEPGUK5Q1felsy6g4DEQS2du9BUXFW/sfyWKOb0HCXWZaLseZ8ZZbGRfe+6SLOD
JDyRHuAffTIelcJcwSUG5tIb66ghpt9Xg7qOB5172X+LR+I37Pbk3WiNe0XBoq0ohbGkEXJllUaF
nS4oXGE5mZm+vK7T9lvdh5cym/Zj6994Vb3OpAnYSW/fZYDUOecbf0zumzLoNoN+imMEP7lz1cik
nyYdVoaeH/vGvwnlqZ7bZreWSI02k72pahPqprKufIePRjlK8FFnAbJy16oX6n1BsODHmNuVKDVX
+vP/s3cm221ca5Z+lXqB8DrRxxnUBECgIUiCvUhNYpEiGX3fx9PXd2jLlmRZuZyrhh7kIO+9FAgQ
cZr97/3tynQu2oz93gexbWR+P9bxg53HHYu/4x6NgglQ7mXDNqopVqkZccXewNO5wJekLtVpeEsA
wPfNNO/csJBXkB7wGnRD4S9aTMB7qAFGDMO0Gvr8ZcDEbzlFsmWHYdLlmTrtZQrRHQKS7/ZBhDd+
UqjHcpDDWZJNFJBq83vRtEwsiZekM1ldM8EuARvco2gi+zSUobERs9MgR3vFVo9aVwM+6BAXzcNz
BifVqSC78JjoLuA1e2m0LVYOrEVjsaDfLkwwx8wibQX4XweWv2SbRdfOGZKekQK/Mjz6fKbEd43l
Ia+Dm7BuKHk2GPCaBYYEr/eBNj4Go50oldRv9JagZTrBZwygDnXdy5AAOEq9JyswL4aRiV0VY3QZ
tl1gIxK1WCzEvPHc6JmV9QE68p4R80nY1PUk5pGkAkjzCEE3NkuqnWFJL/bRjfML4C7m2qHOKKEF
VsMyQowZxMTM2MdpglMi7E0G7LBr0xjTyHKoQufcnuK93gCgSKtDLkmkliLdxC7GWCcxr+WY33b4
iodyJuBeFHcFqWKwoulRxONBCO0CVPeao9DOmOpDhxlESykGd+sjMahPjmVCu9PPGpOd1vQgaFRf
ggSwVxpeTwEnhZmpwxJEftPGa7vu3mj0Oqe7Zt3ypZsgpPQy++KYlNC09GOXIr5pAOE6RryWuFpW
Zk6mYxK3baopcJ6mUcgDMs8NfSLs22AIN1J5YHvZbrtE3+e98chFcp0l+rS1Naa3tA1wtKhXUENq
Vvf0ka4cygTgW460JciUu2YfZgT1kwf4UTvTW67EAFsm7fS7eaTKIKk+lbojGKoRz9eG+DVoymGN
g6QHzW9ejra4DELz8yQot+LS4lvABBNYrTIWchuGcHXS5a2a7cuu0nnHI5NSx+DLEpajTcbNHTlL
VbofzI53KvXyrLB6HwwG7baduM4s7TzrsMhqobltW8bNgR3pq6ZFeo5m58kemelKVhoU+ul8mjwG
a2P5aaLmsNKcJ8OgdruK60fBsAT4Vr9N2wHUccu79gJ9L9XSUzP+G0oZ7cMmw8pTpRcVE9g01JaT
BqCUEvt6YzCa29RNTq/tBPVrBuFr8f/NQMX1ob4N46nageY6jC5zOSjIsFDUrm1bj5POg5ZQCbBp
JqZk1N5c6ml8mWLAsRIrOrjR0p5XTF7wz5qfcC2EZ2MTXMs2e2Kabu3V4w4IBp2rYDfnBm8+eVF3
W1TWtT5O8bk0C3iI1SGsxJ1B4mcpbcE4D+CuKDciT8/rUEA3tJpVaOfvvVdiYTINPzS9u7SjLYYc
VTo4nDNpGWuN7nHW6xs5AeIsKvcy0cPL3E22mWvNRxzFD3Umn6zJvEHdLo+2mRTkhhxcwZ31tOTy
ICGLUOweF7ti4B/Wap1WsbjbVJQi7cHWYr3AyUF+0MqFeTvpicE1omk0ywflYxnJOjUdzTf0OFiS
f6dEWFzqHOkQFGePx0AjfrhAGbEQk2EUMa5HLtbFRbtMK2ndfnOtvPr9PvbtZOSHe/wfLwJ/CMsy
4zhX3eK+kZDTAPqT1rYx1F+qry8EYDvNuuvGu1+/zA96xO8v48L5srCNqizu9y8TCCG5BQgO7sb7
WN5r5v8w4PnJv+8ynBAGZjY+rh8/q5YazrJ08uxUjHzR9l7w/K9/fzLmBp8QH5TyLX3/+4cupCXT
rvOTx73DvrL/cFz/o/b4w0Tnb5/PD39roD56pLGUnohr4ZxL9W3jbizIJm9Zsvn1W/nJSwE1A6wA
8h2dU/7wp8i8EPjXUqYnkeyZtlH3WJEwttZsw0Quf/1a6tf+SwMAAIDM+e2fBbXh22+X0ON8cClK
PFW0BbSc6NY8Wqyp87D99Qv97E19+0I/vKnCTSRDqt9fyCS0B6gi2rKPqK24+h++a+qX/vFNSTXl
UyAW0u1KsvzmkTHtwijZeItTa26D7HmYfDv48uu387Ov8zcv8ePXbWnplATPU5wK7zkJniztf/F1
VhEm2rORo6l9+v4tJHVmdxZg9lPCCmgSQ57/F4sXwRHhqAIow4R38f0rFFrB+d7Ry9PiPo/uZc+w
WXT/w9r1sz86X2Lad+hXZUb1g45KbJo6Cm/JT/gXcFKRFdbt66GhNnRDjOnXf5GfvJYneBuG7lJf
gP70/fuJAk+YMrELWug5k/iAZyJIUfWq5Ix18/FS/0meanD8z5Ln5XPFt/iNcWU3H17/7x+pQvUz
f8qdBg0W9GGjzzN8Ymz3jdxpAJF0sMAj2//R0PtV7qSGF7nC5JIukSEd1W32VfH0foO3qKotTBuX
qnC9f6N4mkItMn8tDCieSlNlFcIFiYWbHND335GmbnPLBi9zqqoWLwdHjFUjYchW9nyvJzXme3qh
Rr3eBFX/Ivrgc+xMJAQn69jaQbapU+1eDvVG2POFveCwsPGb0d3SrUQYnxyS93PgUZwR6muu54Zf
42VKJ3kxmvZ5mZc7L5T7PjG4UNAp6QHsXTdhkWB0G28du+y3BPjeNKeAQSsZFQ9WeOE6gHw06K4r
r7b92VCxcQ2DFAhqYY/uujK8B7cyrzj4n2xK11Z9Uwy4cIaMUPC8CyZyurMtr7MkvA05HhY2nq7Z
xhYaZqWgd8p6G8swuViWvnouOl5ntofdojW0BUPFoLdrz6VFbMHhI/lQn4MYEosOC1p11osw9Y0K
E3tvuHKTRvU6zuytrLMXiNcbVemDwtXu+rrBZkJIYzdRgLN1BUjDMd03ReFP5ETWdRttGivTD4Aa
j6bI4jMd/kWA1gsyTFTrIEVRTIHbydG5rfXYIUbWdGuUY96FbKyTl5G7GHuxKhfiDHaLkx15jqiJ
idG06NZtF3xuQ+8u0bBExQQ2rDl445QCCxynkCedfNMi6TKvBHigWda+jALKjNNc3KGFYvSa7AN3
uGljhdUNrWp7jKruOrLxHYZLW6/LuA0Y4AxiBQ+OfslEbmOuA/4SxTMZF5DDdph+aXQuaEOtw/3X
FuNG1rqHNSslXkfeGhJKtNE6XWyHUciU5d7IcbQGxcHpNXsfemKkidNLD5VnbybXAlgCrhUWvpvs
utLO6n3ThmVw64HIONNp+g21klKWIJVni6oBBp17aOgFRq5tWOaNvaVV3Zr132+j3vYHjwP/UJTH
gn7hVvUMT/DYLZqHxTQ8VqqK2Fnih16VE8empKaYvuKhpbjYpcG4p8k4V5XGDd3Giyo5LkvKYkb7
olg8HgntoRupQ7bAaCYGNxcntE4u7XA9zcl2TGselmHKlNN2l9CunKmaZSG7zwsEfUoa7uWECp7T
yBwaVDOjw9JRr9ex31Abuo2jAspcehGFFDOpamch5UVB13OnSp9H2p/jIL4HvFCvQy2MiN2LVzOu
HgYao7UQQHGDqf55oE1a07WnQdVLj513YarCaV1VTzup9ZnJ9rHV3Vd3aY9cvS8XuqpDVVrdlvZp
UjXWRZPvMlVsXbnO0ZyaNRg8QbFKdAOLn+YR2rAN9y7VfGv2jhU12VL1ZQeqObuA1xUPLsTPNCPW
QjO1UTZPldbdJKp3GynrKrLxTDtUcpsj8BUqujXN2S/K4E5YFadrgzmrAe2aUeztSonTNT3FOXN/
i7+6gXVtUF3gab58lqodvMubNcW2SGlg2lR5eEeLeD8uB0mrOK5mkH66Tm6UwvEqTm67zH6RDRbF
foKvXdTuQ6jBHNFVYXlTRtTyRR2thayFK7lk064t4Jn8bgf6b8c1OJD/Ysd9G55ff7bn8lN/7rkq
woF1jmAHxzggzN/suTSDAkfGQWUBJPzomvq650pikFDFXA5MkJf48b/2XMm/Z38UeVJBpf+7ISM9
bn/fcrlO2pJrDJNOfovvt1xYiJVpB/F8iosrc3bZOgLU7qmT99MCyE3MsB2lUZx7S3bjzdbLXGXa
2tUWnVg0mHOIIWLl0mHepvJkCm4Lk+a8AH6/yHr5sCz1PSmqd8yR21pzKiLE7lNW5dXKax1jrY/L
Thj5OV5MXKDBIAkhoC4JWikyrl8M4dIHh7bOrcnNVPUHM34jjkVz1GOa8TWflxcI9AzW6AAZ6/4+
jburRlqXMTrPDnPCbZ5O4ICn8JIuqLNyHKrVrLVH3UOmnMh/51PJe15ooTFXtUd8zYu2KAoBVvFi
W0Tap75CkmNPx8pzybVvu1hAfwvXDXyKGHEMEiFL4npbe+ROzA4SnaW/ljI+tanuAKmv59uF6qx4
CEiLV+16qSf2v8SM2bgt0tuFlkDgtZ/yBXKqMwYu7ByRnbllLDf1SGGXNgUKfU/fyahmiwr9OnMy
GeWyMvX+1sEfjiZoPzQ1k691GDcWwljPpr3q7RIf6eQwmbzXxxFphTxKDRm37gR1BUk3NEw/w4Tt
JgozaxOUTP0oKDlHX/fTdt6JbNov4+D4PeZ54psheTZart0lqNHj9HvLJXZH9OKtSuyLTLRyhZnu
82JxWsMaiMAX9PddUXyO8Z4HNimUjIoUqz3MfQ8vG56UkxR7gA2aH6WVvYIqeCEFzJOUYVYUiU+z
5ZzlFdPF3J6fa92u760cz3huscMPq7EaD70x7aYkCfaxHVDTFQd7nGggdmvzONNxsJIalutZm6fV
knsP2kAWwam17SiNnYgHb6V41V4wHhZJ1ZcoKyrLw2IjBw2cb13t4jhyV8JdrgojoJII/66GP6dp
+ocFJT6zjffS5DNjgX8UHqPvIL3HCv4U5s3VFKUxNYTePi2Wx7ZR9TlltGeA5q4BcvnF1J3lPRxt
egQfB8IOqOrP3Rz7kNiOMok3elw90bPWbQKT0VgqELuzJrtju7iPuNiuqt5q+dXSI2kkv1r0atW5
T7VEeG5656Kp3JslosndhClE2GQnZkIyff/Z9sIbcBhbVy9OGHBPUyUkz9hinMOjgeLkFDS3D5eG
GW7T4jVV1Vkoen47BrsyHhW5y9I3pT1Ts27TgAWWV0Jp5rXbxwX665oW3ec8AHFji7Rbixa2VBYa
K+IJd87CoWEqM2rJGveuKMIjZvKnxYsuMjldm4a242gGuqiWr4GqZ5MUuzluDa805wsYqPzB5AeJ
8WYnVsUDpd/xNX50O8DIelBedjEmdmm+ymVu/EQbr8qAkU/e6tY6CA1g2kFhrzInYvwNXAM+x5Rd
zam8SVPWFaRooLsDHM981sdt4ciXKeie06y+CvQGoKZrB5t2FME6n2vJscY+Vl5rXS2mtwNqEdGr
O9TJbVXoX4IZ0lCYLvdLWZ6bS/iiMyXos37ekyfV/C41LiNai4msRi2RDUY4wJ/eyspd/N6N0k2T
VirWU7OxwzRbOXjgWYuyhhb15nzRXfrt9LO41w9R1N00TJoIQZgHZ7Eup147ljnvMk7rTdVFgumP
ZgGBDjdJlPdMYK3fVbD/tny1Q//zln9qnulk+Mk1m5/6uuVTyGDB0mTbR/LUPxq/v7qKKGRgE6Co
wHA8VBeFPvi65ZtUNUAFwL0NOviD3fjnNdv8jeIbh//jn6XogXv7vzAW4Rz6Yc/nus6FHceTkAbG
Wu8H2ad2wHuMtLGSNdcBby1ZKtc6CLKjNtXiWLhEvFeamPvPVhKdxcH85IX6sq7c5Is5AG3WRq62
eyfCnODXpkgOoqopA0lijqqGE5UPAOEBXJN1bUPlH+GGDG7DYNE2m2cLgvdb14ug2RqFzYZEnQiU
F5qtWR+3UR8ntd9lgLfXWWOBcWsSwl6z6kSQnKDbj5qENK6oTEhUe8JEk4oGW5dnmmYFOw6YfFO2
EFAHBzSc/gXN5LpH0I5Z20zBSkRNQ8aouKK2Aa8AF+vxWjeX84haB6yR51aZHXTqHibGEbQOUr3H
gNRel+3Qb4zWis4ry9mJSrtKeOZvqsA7dqpLwlGtEiGjkPOiLekk0MbUnx0qgho6bCgF6E9T1560
dCIPh2djNTN+ZY0Y/Sh0HcnS1EFVic25eU/N7jbOxC06Tm4zoumKK61OlwvTSjEXVBASnOgRguTa
7ei2aIOcyEdGHrWM3rmzJWujYk5olB7jwZ7Tgpnfao49biuP3cGtSXE1XIWKWrVYEOyliWhaBYvr
bAy9iE5DOLKdVgkJc5vh4qTRIDcylHUI9giS/qbsC2jfyCexdgE4cDs4On2QfWXdt5LyA/Y9xrKZ
t0VjiVcc9NbUVTT0o7vVkx30aCm6hj6xKoywXbczPrRvHsWfzGL+JiyrmmKcx2gCHLjRsr4/zIKH
HkUq2+TSEFG1pU7YeAYo7a3HOUXQ/nit/9Y/Jcf/8/p3lT1/eWt+sv7xU1/XP0NdeYB8/eGcVDLf
1/WPel3GJtx3HEZZH4Lhn+uf/I1EjkkgUSFRGNnxU3/JjK6O0EhInqgJNWD/CmtrfpR1/SAz2iqG
A1/IMFS04PuvyTCPCAmWO546YENrq6MhZZhvoBACBpThKdfr5AuPWAH90byDecnh2dQQb9zxXYuo
o8XRS7+phrkADJ4oMjwgLmYPOiZemhDVacrcBgtIcWPJLOQiUga7cQguQNxCAavcl96Mb51h+RQh
8OCrgKBpVNZ6oiJhn7rVmanEz9wFi2nKYrtkxi2vtRk7vV8BrYg2Rj/TKeHhfgsW56JL5T0jN27+
afiatN6FxShZWNMpCtt96XI45AB2bURCbIEND6vEGq4mA5+RCmCtXAPAFVE1dU4CdlGvzbpnQbeY
+4+VvtdJ7m9lByOMu5Xn93Nl+mYa7Jw0Y0pg5iyalXXXSEL5s9z0pun3FRfCuiHZEufzYdEhUnVF
5OH4Wh5s+ZqXwaYxJiVinblD90ibR0wJJxlxS3EF+5n7nTOAmLSn+W0Q5WHQXbrJNNLmInoIdRZ5
gGqYuHA2MI3nkqVEK5cEvXupZLewbB5KzX7BVXqkxR7bBkWUJLnrVj9Q73BNySkdsbZz4/EJBTHI
WK2EkJhll40lb5xYvKTTQlOLgENiC105Kcf73LCeEuaWrK1Qyuhm3NIARIBnco964t0B96VddhEP
8ZBkFLpBKTWD+2pqLjH+HcMmlas2y+AhR5+nQburTJxh0XTTSWdLN9hjryVfMiYjKxuE47qpqAxb
lHfJaOt3d55vRQ+1sbbkBX+m8xEYEXviJrDe8Vz50F9gw/bLtnLLdmNYYIsx5zqJh0QXurslce1V
U5SfzcJ5MmHMguCZnq2ehlC+5Kh2YYEzqivP9SF7DfhGyoaWRYtaDNrAznpn3pdOB9EHgI8RmXc2
omDI0r/iEnili7EjBg0uF0krWjXanGy0iFj9bALiQSR9SDo+pIVL7srm2rKycuOmcypfVjn547yR
PkHR6iwgb3lp9OXD1D7RfmHyzD3lKOU0F9EyF7KjQKm9L+s5up7HRh4CSiZWpdtOO2vAryX60Vr3
tZ74sypAi7XqHa24k7ih6o6jeRQks9/lab3cDx93Ypt6HG6rYZBat0VgcsPEZ/IQW0npW9ypSQZB
U+OWPRUW12117/YStvBC7uZq5EpOd+GGOGR2hlPD9XMStxipzKdysBMihDxuWcRXGuwvzDiExpjZ
oSq/3oSenG69CgWgxFc4Rcur2nuBQngbGi+2Ai2hT2kdWqh+8gu6mDZk1HFhuJcTfbPYoom1ep9i
lInIg9HUoVVg4D7EaBcNrqoMLSOL+22l7q8LKkdZYRzW0D2sqKCRAiUktZxbPl2dQhgqhxLuqWgm
qj+1MalHDoPxpXWsh7I0H3PhZoAtakBvgJjrelmUy/PBjrAAIhREa8xsl6MSbAol3aRRdi7QcvhP
DXpNVH1TZyORIvgYNXETM32fUYKqxH2o6viCg91L0xK3FTRuO2hHTl+CFKpBNJnIHnhpEItFoL+I
Kbnx0J744yFCJQtVtql7nw/DyBNidgDqvMjHyrNx1F0HiWuByVxvyo6HaebRc7kYtZFxaNVNKebK
RM0OsoF+BorpGPTdOXATAr/qlpVBYwWiB5rajPNs1bseBbi5vvgBFzQtAgBcyjrZdj195lUlLgt1
nxvUzc7gireEwbM25+cRVz9N3QH1af4C/jy5nSH2rpsR525rMc+AGrJxw/rLiFMBAynTEy5t97Hn
HKOq+hLTBrEGiZDfIe/vtcK4h/6Qr4OKv0bmBuC0U6qnA45Xznhw84omSKeHNcjuUHVfpDGieOcZ
3zU8lxzbMhFqDSlrfeaemIWFz3WkJVrftfKzkbede/HfiYg7HIE9LlD/fCK6jd9AWfz9RKR+6rsT
kY75xfO4+30UlX5zIoJmZ6hSC+LB6mzzzYnIxetOCIUUp7qw8Q9+PRFxWMJ4oA67amBKguzf3AgN
9at9P3glseJiBMAFwCELGOz3J6LFjPLIKGNxMj2+mEG+YEfUP5fhKwrRgjy8ahCHMMPiq0Y/Ox+V
ctSw7TpIST23EvjxN2DCPyM3rmF3MmRIo8cCNkCNGGUW3kWl1KnWfdKV8JkhWy3IV53t4glUipYR
9myYxR2TV6LEUmTrGh/rBjfcE01aVEkbR3tOfDat54WYgo5wZlhavSbVeBbZhS+VtpYu8b7ta9jN
yG566O5HpcNZxNwAu1FlVNwvCHUSwY5BeA7ZyHjXKHWukfRSHUSQhcjXSG27IPrFEvIZ72xXScRi
muM3VLk6hGAU6wPRsPsou6ODOSwgGCErNi2S4ozQWI/GhHwzuwcwH6jkgXVMRFYSytb2LKLWSuec
uO+1eVda08H4EDOdm7Hqb5icNfcZcmemdE+n9s5ChFCR20dPKaOVmC5ws8LKCV3Nt5FPu0FLuGGR
hEVYdWRZrmqk1ll/bRFeQwTY2bOJSSpNdvHGz6lSabPavMDa92Yq/VYi5AIPJ0artF0N/Fin1F7O
x1SfTfOesqad541+hTDct3xmodKKx991Y1IXiMjU1KAhBG5SglsFlXcEzDSvFqsS3aH0iCp1qiSX
UT6X4boUjesbMRh/v23NTj7D4R4PSUejw8ZJoWGsJnOcyegwYtvMmUW3XAS8rVKHn77mrF2aX4qI
ejktsCjn4USFIx2srDmKzbi0X5ygt9Yyrd8VaHg1B8lmhri3ctUKGNrpjbtUHAtN91KLwKx3JIJI
XrEha9FjNllPhTcxh5gGAhtptEY/jjdWbb8mVftuzNPb0gFPG9zsIcRJQX2PeSGGCSZNaxwbAK4+
xw7Tx7/A8doMN6ZM91bUPHmp3W1N+gIwOXlPc2ekKzSEBHlzfIWNB98NGybfHGo0CroX1iKRdGiE
2mX4lA2bIgR7OyWv1oT5K+f7UuAeT5ejQwdSUlbXg5lEKOjTfUVlxsphrptFwOAtiDyhcD4FFT3X
Nv+Jp4+fwqW+joNsPVtQhsb2qQBsxFFHg9DhuovqxGJYiKy80UghrRwng+Ib0T3RTBzMRyYFcFBu
+rkMD2kEW9gpLpemAotRvVMP1iBtD43Y1nPa/O7l+u+mrZbZf95Xrmhxe27/vq+on/p2X4ENRzbw
4178Q202HWcYKQSQBuMD6/2H0ghUzuK/ojqbzOEf+uRf+woAOMpogLByT1fpxn+hNJqu2je+u2mz
r9BFw2+BdunxMH2/r9DzVhSgdvSTnY1duocMTWejV6cXCd9Da2mvvWj5hIrFObHLdmMoP9F12K5y
vrE232UZZMwM+XYDREGoLJtrZyghGYtjH2Dk53kweS6Wfm8n2lPJoxKEnI7Dk66eIWwf3tqxuZe6
OsbftHXoX52XV+Zo+LV7hj6Qt57o04Y2aWq0lY3d01Lm+/Hj6eUxZgJj+rV6srGzHhf1rAO4vrAQ
njgggjzV+hlKnHiLWSDGxXj11IpRqrWDK+5trlYTQjNP46x9ahaWjGmpmTU6HjwpeVk483zUrPQG
NVYxtFinJhYs1C3+h0H7jl5m8T+EKD7orJ+sclQSsDerlS9Xa+DCYijSR+YxUUsJXyu4a4wNlz8o
GYHbNRuO5qyl9se6StMI/oTKnEdSM2rl1T9W4XhqMNUXA6udanAm9V4zHNT6FQHAykekZQIsVOez
QfUMc6T0YBpDA5E7boDAhmN3TTwQTvqSNddDSYs0jPB6xXmVj6oN0FwbxM5I9U7nqoE6r53HcmmQ
gulj9S3VU12WVOR06uo2qRbrQPVZszTO13w3LXBXtF0n1F5Hqv9aqiZs7m3xRaDasUfZt2cRSJ3d
pLqz8coD0qhVo7YWmcFOT/t3Q5YefZJ1D0qTBm6dKu6B9rkVFYFURKqebr1GlYxVdzc7wZtUbd59
PY4+GTimfVR9Z4LO79JOsivPxFClfzSCa0zrpM7Wb6m+8HRo7Z0X1W/5pMudrWTnWvWLu6ppnE+O
a4lqH/dKEm3GTCN5IGAWtJSQoISitZu6qi6nwIaZleozr2agKiXtQKtWVaZ3ntYcR9WAHo50ocuI
xC1QMHNXdU7m88ezQHra7zFmVZh2EYAsy9yh17I7CtW2nsiK+zl9Ui8iZyiMpIOJRvWzM6sEL1tZ
g88lXNf4LWlyT4qeTnfV7t5gxtmPS1p0fgQ7S/iTaoKXA76U9ww2/94D5HxdIiRs4EG0xy6A1Hs0
uak2YrrLAOsSIYX4W7AVEretH2ZNhmuxBCAU5VhibZoItLZPWlh/ysqCa7cnUcRzRn1DzmEmEW5O
r0nyoBflVVK38edZkskyojAiSeYB8KvIWyz9NUgjb2XTQboGRFkfZO+8RdnwmSHDdgy9aD1J7X1M
unZtF/GTqSVnxHQfJzDMO7PVnHWWN2oRkRd8FIc+le8lz6mm1Oou9+5ovr2q9eisolhjVTTlpSus
L4YjPw2ZNm30ZrrqlsY7eE2zL5f2tl3kPTTgwBcd9+S6b3wQhDEdg/G8Mw3m8EnBJdqD+DSigTde
dBOKhm7dEI5/n5n10RbLM2NtzmSFsY/L6Cx1g5NnAgmezHozo3bypMTNquDLhv0ig1pGxPIl8Tjz
OWmX7ENzIAZlQU6euOifORBiVpZTUvlk5y+ypRIyF31BwKS+KkftFovAuEvSND4LydAxpKUALp1H
j18JJWHWIMEhWjiroBzD6xx7P4NzcoW9engWESDnqRftKjvyE7q7doKyxZssbKqNZ5BDZIXpd23i
ILTZk9xVlj77S4IgCMkuY4Vx593Uc7QP2tgkn5VbvlwSh6yd/c7AZtmk1nIgcHjiYnDMzeQcUEbu
c94zduZoZr4pqmCbgtjcRq4tYA8HMO9EWe4NZ7I3FCNy788W0lCxsTNMBRZO+G2jnKfWGDFoZQX8
UkZZGYA2VilR4xwZC96p3Qy2IvWHlK/ozk5LOEQnOWJpHXbhushxDbJM/dEg+t9RR5Fa/vmoc/v8
BRgkzuWfMHTVT/553NEB5XKaENxWuUX/MFjwHGYOX/8bfurrYBVQrumwK7M5OwA3MCn/eY32fhMc
g+jmsD0eHFxY/+a485NrtMuBS/12SjNgtMArfRdsSIYCXWsaT1PmYajEW7UlxpX4VaK8MlOHhyRt
eS5ta3gak/xYtTwSjvBc1K84Xgcz/dhB4enAdB0fNywy7Vy4a0fE2lF0y7MdGAvl5d3b6NQthE9w
p1UW3Jq95lzQ+QukdjBrHtehviStBLQ9euii0R9FAVZRemd5Z5xZjf6eTvPDGKHAW+mpzkiT6sZe
xgwcZMLeEOdUmSYZXPRlpnwb30/LbBNNnonPW+Ja96OjfU4H7W0cFBiR3r/1BGYcpl7+WufQHFKh
XXaCianeFPNqTLEgD9J5mSOAFOCq9HWG9M+AhMJjrhMPUV5eG04IqRQKgztbbNZ9N/hhs+vDizA+
QCa9qVuHzHfwtqgQe3Hl6MSdzSa9LBDRlyn5lNPnFBjBl6iw7wabyiSRvM+h8opkxrUHwBfwATvY
ELaYTTsSCD2IvT6Lsu3UZdSoSdbWxplv87CzN507Wnvcs8nazCKABEWPJF9S9pXHzMFb8No+y2K7
sbpwn0Z4cXLN3PXo+DegA4zNhMlmlcyI5npME6FdAnJtapVNxYK2TknuneHgvinbiVwemaUdxs0D
w4aYtvUuJi6c2Ps+kHP6UISaG14Y7ZJ/SlqbGXjGCJiPb1jWk8lxdphiTiq2994SZZyi4RR1VMsg
9KPtdR86XwMV8TXPSlfbSGjy+9jSg61NUPzkinhas1uRDDVmuOLWWF7kixHf41F+aCAx701Hfk5p
+GCTppFqtBJjo1U9c/vZu5PFeDBz2I9N0JOCxHTd6Pq91rP89nhS/ClYit0wFuFNbuX1ym2JyrQF
tjbBZ0kv78UETeOObwAeeapo1gRqpqtiZtDk9WN1R8HaS0s45uimBnT3JHqrdE4LizULAvj6peaV
nCKoBuKjt3Uk3K7fN33Q7A2S/Le1U2cAed3iLjWABlR6HOHHru5Kr9t0ncP8ol8Au8b2fnIYgPQB
MkoCdwGo9EzSXAZrzWymdZ6C0bVjcvrkcDBKx4Fz1s3ieQqqdR2ND9ghqbYpxEyJAv1+oSU59U6W
dgDYj9qSjNztlzrYxF5X7KaqTL+kjNX3GbHz1YK6k47RtB8wZPtNJxeajHFUrxxbNtejqQfnEXnN
C2+YL1vHxf2QEcbCGciTmQ/NFvbrtOkMGuw1bwGkrQPlT+1p8f+TdD8kXZPp8q/2o+L/bDH6fInb
Lz/bkvjhP7ckAw8vkSZima6jg4r6ZtZtqloS7r7KucN1m93g65bk/iYN6VpC/vVTX2/g7m+IvSjC
RG3+v3SZYC6GRaQUZCIT/OLfbkg29dVeEjTLaek+1V6wUt/7bz6Yn1gu1L/w1w1fkeUs/g2YLGjX
Bi+hlOVvsnx8ZZ1qqkz91E4ag6gtlUvcWl6Hf9mE/LfX+SEaBBS3IqdioySgW+rN+ei+/vqNYJz+
9Tv5wQkdchOkv4l3YkzuarDuXS4CPHNSO8l+8JFY1u3wVPX7Pr7qyoC1/S2JCLtfGeV1V5DewYUJ
/NsOiXUwYrau++R2zCMQsPn+17+pMn//8jP/8ZgRawETSPVZmH7AlbiuPvUDlx/dOo1o9UFAnd/8
7mpoLf+PvTNbjhvbtuuvOPwOBfomwvYDmmyZmWzF5gVBURT6vsfXe0AqlagsHdLHvo6wI+7TOVUq
CkkksPfaa805Jv/X1CPn/Q+wVEz/+AAIKJYgHhEGr3zW1iGJXGp70ZhOUx8TFiBZdXqRYCHjvFCq
pJ5Y9PFBypjmrh4bW+uGa4kBGycaUgt7UZidGi0yoodOhA0RiLuB9btep9mDnCm7wRepkWQhlu5G
JYvXSmLFJmfD1s5Jfqv1elvSd4G1sZLayUU/uw7nU6+T5BYwnawE0MvzGuP9ZSZf4ilf+fBHUBUE
zS0mo4MCDbiGRd8jCJLJmiOLClEz5X9cugn43ZLTrM6ZYK5qbqJEjFp3YYiZN5SbqXpoYsoPKJ7V
kO+lVr2K40NMBFaPofUu01K7VGbFK6zbVl0CSjRglRwgtChQsSJXZLeanG+KJH1E7mVnGdIoSyPH
DtL1j/ypf+mGXnqCb76hxUmHovPXi6+evS5DhAqqHZv5JK6Vjb+dL9p7ZQ0x5dTY0kW7qZzaM13L
mVaKs6t32apwx0dhm6zatbjWD2Tk/pgN/ssP9LvN4J/LxJn7U03TzsiWR7ZItuSr5YNbY+FaQZR+
/9H805P5djk6W/DMKJvTMOQ6AjHVt+PXamHcO7TMdP+Dl0D6/Rb/+JXevgRnKiKL76NWrEg+hcTG
XELv6Zj0gthoPOJXghOC6fd/td9ndH9dT2GNxTYN4/echZrR7jSMVJFPA9akfP7SC5fvX+BPCyCy
1b8vcHbvOCQYkBVl+dT07tIeHQSnGT9iPH90kbNV1hotnaBkLmL1+7natfqtrD+9/3v8aUt6+3uc
LY8TezUiR00+AV9Ei0ULU7+24qPFdOP7hf6jT+uH6KUumuJb+9+Wv/mlKKeadPL2f/z+j82Pfw5e
C/e5ff7tH0DvY+m96l7r6fq16VJ+9MeLt/yX/6t/+Jcx+Bac/n//r89fAQC7UdPW0UvL9nJuGl4k
w++XR/ZrnT/XX/8Ye7P89M/6SFI/MfdmlrBgqTU4pL/qI2TSJsMJjuYkdCwup1/1kcafYJsnj5Sc
Pmonqqqf9ZHyifM/g28a4Yw9KGz+nSM7Xv2zhZJzMCN+3WAX0yBAnqe9WaMmlATihEchMWVX67PW
Mzn2bvUetGxfKwRit1ULf1qfmJI5iPs5lftD1cR3wA3x78wkUxzzWlbdvCJZUKQtJPZX42AW03OH
FrxmiDlWM9kMY9rjr7Qr9N+EDivfB6+JIVXzlh57HTTrthTS8MZsyZ2uNayDdi4YjCfnYI5vsyLt
7zhwxrKTJiKhJhKMZ1uOqUHKMkVMjGh6M4UMAVOtMz7nUk8Xf2JE+7nETYEJUCvnyVFzjmqO0FS5
kxB1fKkkfYkwrIofBa0kmcwifcVGDOZzPJQC00b7FB3w0JJLkVFpBI4ZsZBahbzNAzFzaMh1EE+M
7GjoeX+dof72avJ4VNBvec+Q29c4ZFfmk0y3csZKZRWz3WNSGW3DjDQDo2hqXCOpKmZnbrNoQ6ry
/JLJggJmTiVZzZlEbJDyqrO0mMORqnSA+8xeadcap3WhcaNR6B+BoEkSXXjGympMtkzOChyijfRA
9c2L6WtQ5tnaWAENazI16mBt0E25auo+fkJi2VxZRmOs4lSXOGEj8r7NhvJoKU2JkUTgbl7mQtCL
XtAsY/jAL7pqG8pSR1s2kuPHBLX67Whh86CT2GEwHnIxSjeikreGLZilH28rqY7HXWaQhvOqD2bw
asEkXQO28wHXhQWkJgv8UiMQAp8JcEsSM2oeKEXL+rSkvyEu/Kts/49eutavxZHGXPP7UvX/9MrF
hvP+yuVGr8GfDnX84N+Llv6JgEo6+z+gBksB/lOuw6LF1ruASzRmmt/tnD8Pdcon6i6Y63QAAQ9B
gf21aJFqCSsWyqwIof/7KvhzCb/8cZhi9f+XtdSfDBwq+7SJm5NBrsTAgUXtzaEr4q1viNBTDmBq
mDJoSdUGrdPpWrLLIh5erJX9bDCiAw8pgxXMp/mmQ3kbIAW8ULrYeE5C8nJbTNdi9RQbqSRd4jeE
mBD3uKHsps+tU1a08y5QujTaVu0k35IgJmhbqRFrwbYsoT1lvuLvkkkXW09Okli6iQwsYnuWq7R5
sfJAJ8xQKWvtahEh9HqevmKUYkCaRx0pYyoC5rUY4zG3KjPqr9tqardqKje0Z2aEdJ6/OFBm1cBi
ZlShuJcXh0pdVVRXOdRZLxwtytiqbr1OnKK91k7qhe/PZWfHhNM8d02O30utfISJhgpOEQtAdxnK
2jPkmSdAcC+xjhkPqQTSGl17LdvsFQ2NRGMyq9SvMFKBUoK9q4JhSwSltmoToYNmHeh2L4t0a4ek
k6ATDIyJ0EbfSwK9GSsZ/Jcx0vtNo+TyNhT88EJIZHTdUo1AuerG7VyW1RqVSOHU9H7sLMmZgplM
6BiUIDdGJ86XW7o6toVmaHzXbLO92VkQ4v3aOEyaNm8TlVZvJIMWU61wbURInuoAXYkymTFWFTwa
Rp64pWm9mmoorM1+3qQS9lxcOOvJR7YrNFmCArZmlqOODyqRNG4yzL3NdrsuJAs8XDs6bViTAqmM
WPlCem9Wqo1uDUsGg10pn4BLJCRyaso1Wcv5ayyqHCOqKL+Pe7QgKFoJ9unj/f+Vguv/v1VLe7fe
+kx51v1JYrj82N9rlvmJ5QjtHjszfai3UhAJNzm1FN4xqjDxN9OZ+gmmC0YI1pGF/rIQgH4VWmhA
ZDDXCgT07390tka9t2b9XvazLi6qEjwcCB0ljVWQgu7tijWK7KB1nXfHeUocFHeL7A+6ZvbBGYn+
2lk9x4U0GYcJoBqUjHQnfr+QlAJL0DGJHsVOs+6AnjDgzdAjzBsTbWbNopd36rZp/PkmlpmfEEej
3semETyWRUy/IpisvYS2FhFDrY2X4aRcK1PRF64+Bcy4+yRulKd+rHTzcvCrvl/FUqG6vcrMVU+E
lMNZijM8KstC9oohhVtrCgGlHAyS/CFKJjrK5lyLbpO/aKk6YFooidLuxDLFIp6k06rwCTFLUVoK
aQMS2YiGQjmJvaQlF30an+o2wbBRsmiE1qUiia/kHH3Nq2DlN+Kt0VcbFNlrTdCLNTrihU2DUAFd
n5V52pht/WmqXCXJAEMTDpZO1beQCfRcAiiUy2+d0t8w9qHZodbxo5FgKbCCpDsIRlkfq0bTd2lk
IeXMqDdnmUOoICjfVCIPN6ofUgS32AARxFPOpILGfHXptlhHErMGd5bN3sWsIa/b3LibJOEhBZ5N
2nsIMLZtAxm1JcnAPBZ+5gFNQHOjLn9FC1w20eu7Wm2pmXUzD69RcwteZ0g1qk+R1SuNJu6iXKAv
TbraVYV6cmNtvq5YQnehAFr3TcXw13b8FvgnL7vrr5bn92eZMSKDQw2OksJj/fsjBiy8CgLwtsfG
y56H2pZu5hsqPbty2k2+8SWbit/L1oZXe7mt7dSV4skb3/nwJH3W61B51Zk3UmpgpBJVtvrfPwf2
x6EjYK04+nKwQ3QyOklA0lg5qLJtGonlVYAHVrWs1/QETfEQGLW/k/iO4E1nzmRMR4s91jbl+QkW
qrVqSFdbtW25IlvvCdMz7SsfDYk/j/dVWiK8qMmyM5pYccfBR+Me0gzDEuChSVgTZeDEWCYrlS4z
iWabWUGdIMtrdcnw4gC11LjombJ8E49w7BXglIVYesMQXMg+s/UkjyQyxwDwZnHj8hIfh9FS1lVA
2FSjBHcBYZSSkh260QTcYpZrMeFBM6xKXXVifPP+V/z7IrJQ92ja09NmveT4qZy3WqxZHnCp+PVR
7GlAshDghqgpBhCneZhIkNlUwfP7l5SXDtivp+qf1zz7NoWxp2BLgoYQPQWzZI2wNyjcuTE2akZA
TOWLdqCDNjcQxGpp09qamk8wR5nLmgL8qsh8EKOmIrNG+IZGakUj8yAX+pXozy9aUD1l8PjdijPq
f+7J0g/VPw2/d08S7fN/sZ/rL89/2pkXpePfOzPEFpkWB/EShEN873P8PE3glISnJgIp1VAT0A14
2wKR2LBRcOoLX41zw9udmb0aWcBS/9OzYObyb+zM/1zNOOXIbJkGJwoe9+W5fHOWUEJJGFqCVI8h
2aDNcRwf39yWPyyXWDd/e7J/7P2cVzSc5lg7NeNsvez8RgUAPXZHONiezD7DkOCY+kzL6/YbPAa3
jms40SojeEnIt1Qrm7qKWeKhturLTgYfZp0bOGLY4uIuXKlseQI8flu2LjqNSW2zbIpzmJ6k7/uk
0reVcgpIoYVkg6sw4CY6Wog2AZLMNDfI3bXtGDb+twELuKJkoQ5qLYIXqkbp10pOfUA0QDZVZI/M
tALhISaNm+JefenCkTVSMgJ8BWG1l9Cx2YFknowSTX5q1g80chSPNhTQOlUdLuMRQ5PC5rSSagXZ
aZ3v+zp6SmT5QpOJ1LQyItoDtu00LzbA0Ga39qtbX0vXyhwdTGbAnIbyJ0HEzyOp47csEXCtWkx8
wWWvOES5AKlvDFZiQSy3SsXEXhQ2ednt2lLkzNBNV2Ni7sBnMJMiFgCl4a4yjGdf6nFTGajFLAHf
WfTcsvFi0GBp08xNGsQnAYOWRp8+9OVH8m53VmdsoEhdqDnk5VruD6mCtTJTvLqsNjrhlHahWp/j
aG43c5Je1j5t/mYO920kPpaVvEjJ4p26oHFTKbHlmQBjZVZvIoXcsLAZQ68zo+2UQlDXYk2Dq4LP
viImrdCTp061ELFA7RJBhKH2g9Ae5DtCRQFm9/cqScfEBhz1Rn9s2vmUROp1mDGE63x2YbU/hEO9
LVC+BghFwMMjRrWGTdoPF6Gc3oDYpMUXp/cM0z9LvnGPiWBV1PrOnLWVMNZPutqSsdCCAFeax4Jf
Xp6yEfLH/BUIkQfzxQFwQ1E1XpQDg6quCkpkmEBfWrPBVEJkbqAbT7wFKwgJj4FPMTg2bbwSuo7H
pvo2FfHGhLOiKuVTV4uPggD625gqO0EO3I+WI2rplznxr3AHztBKgoskXiIvgxIFs2DchjOMvrIL
4f+AFhEzRH4SrUGhDIm2ng3tYI5NvosifUa+QUaJpt/ElvrQlU2wAnZNw7Bc3p54uBEl+M1daaLG
HipXq+ArCJJ2PVLBOt3UpXtgaQtUSGk8Ky1x7ZAG4w2NfgxaGRC4pn8WMQK5VuWbX/AE916IZrKw
+1KHN5jVvd+AUBH8yY6jPjqOdaRfVCWYcYtbYStJGTi1sMD/0yJ01RAPddoJotfOKGzy1k+uCxRg
nJg7cc+BnVjiSaY3W+/bdjyVatls827EXqMsmAG5ajaaSdhnEHUXuhSQg5GU+VqaNaCLs4XLUpbs
Tk1Lr2irAmVylJ4M1KoE9wrN1dwvsdh++aLN0+faV56NpNqwvnE0lzLHkojJnlLhwk9kmIKpRL62
rnFgTovsptAAAoIz8tP7jrDhoa8HqFX6SSWUlZXFqWPVVQypc4sy3xsVdhhOYfz3w1XeKST1GaXN
GrWjkNugBvXiPnbKub1AlL0OtfBA8MY9QHDoj8vU1E/X+ZiA6aBWa6IWtLqvM5ckTdhXI+NLOQiy
g6mbAHK1GrJbXE7DqiemQUFI4ihoUByyYRJvjqL6MJvJUZHLDfyEK6kiriUF2D4SX0tGK5IoiVhW
ye+AiDOATSdiEYTyNpMzpwMTlHKc6EJvGtrMYs3pdoOoF0+52gqsv8I3CJKwLDtgGlwOnUupqyeS
tevJmRKj3/Rx2K9Jr53WLP3hvV9xBblLb3MwmijfRWvXgYrYwchE7qWh1zUUE50upwW1MG61ikOE
DVedxHYs0+6k+iickupW96dbM9fmh9nPIyftoBFqXSDZBjEd7WQK61IkPwebceHQdSJPoNe6hzqC
XjGaUzQ7aTSE7Ephu1F7wDrJgJjPzPAlZcWj3pcgLaPVaExe1xQn8ol2STXdiYj9+ohjJenqd10q
35pdZe3Haey3hRDXbuGnk1N2MYG8oviIwEpxlVGtHjq9JB2iwAOQhDzoRtRxdPOVB3m02htf1saV
2dEHjul0ee9vz78fzCk7QWboEqUG52YLAMPZwVzOMtQrQZwf24TAkHHeavpwNdTN6v3LnKsr/roO
+kxMhjgd/1EEtMacJfQfj1maHoC/3bEqkZ+RPbFc1vYwWUugQ7rpx3KVmsmmkUOYLJxj5HzPSnXB
mJy2XnIFVuxar0RPCTunAzuQB/5r0emYEXgF1Nk86uJHlfkf75Am81JyVlm6Cr8XSFrWFVFrJflx
AD4QTCSuZ9gRPhjYnzEpfpT/KkmaqFu5Rzzov1+l6ZJyypKuP5YBBhj4cFsFPQcZTxX7Rt9j9Rf6
B6FMiysCKt3JEreDid+3mACw+op4NccZEdSI4ZGwWDc5u1JX9OTTSDQJi4GtHNjY4qk5RkK0G31O
3YPMe6NnBMlPeN6vkS4+Jy1dCNAt6xmJmt9IuhemUeIlrfIiMIXhxEk+uUI4ykRb2ikqvAUhmk22
IkqbUN/Cl3nFhvA8gh3oNJyko5EeyByis2hMwkaUhvgAmSWz55FjCyKSiPgniAZSFHz2Oym7rQaN
/UMKSKonUabRy3ajS4NHVINTSaBJp9hIvFKUT5po5O44o66QlPTCF587zoGasWVdfDQFRKLGIG2m
WH1MiQ7HzIG7oMTBpgiiO6uUHiOvGU7sDt2DkG3qNtMgIow7BCnPSSSHL1OqrUW9ylwjDTlGIRBR
mmpFhgloPXm8znDHIcSVaB/N474ymg/kEhiDfyuafzwPvJCLwxcpmLVAqd6W5bCIipw/a4/05p4V
q8ncuezToy5U6Caa8In+GTKKJnQkfcSb+h3HkR64K9gowsTYyEFzAGRr40s6aIX5gMU/XDWZVq26
TlS3jMfpwUUw3npiqzyxULMNDeXSHSSOiWYNmZBQl2vyrXJsRdVNkKEWJW+GuPKhI+KMIUFeVis9
m5l968/WMmrvpcIgiEa+0+WJ2nnCA9lKLs4D2vSaQKr1oD9gf9rSPPhKXDE+yIFlwEo3ej7e+lZ8
YfS1UxXKDaYtnhD8EJN8o/X9IYnDmyrSrjMDtfTUPphJotrUjaKnV6TLhBV20g5prbm4ZZRYcEVf
ZufQhWeBZ8IpLeVRUoQHKYQNXbUodEIy6/tZgCY8Fp6k1msRipWV94CTDFyOvYtpWHRwvu4NWBuD
1KOaSRe9cHurLKNBc9w2jHexIbxUMK1yQ/dgdxySLncT2K5AVy+MXF8NdAZDg5SxCBG3bEVXSSkk
W4DrXtFMnp4Ciy0paAo94FzCy9gL1tVQtd+AzOLhnBYFOciBtsMMDINZZsQjSQTFNco6UpApmUur
Tg1mZ1gq1KRj1AA6IpGG+4JmGCFsl+QI2UFIVkci7DN28XAIMO2kj33ZrCrYXNZWVV1JYtdM/YGU
HgJ+6qx0O6GKSdQR1vFg7mcaMIbFXHmQggUDxaI7yxJtTyw3g3kJaWsT5C3WpOqCSHuq3jYVCP5Z
9FKpsVODYV8ueW/aYn7CGyQ5A7EJYYmfpeGUkOoobzOv6IwlH+9S1zwjAaVsHrNxpdMMVTe+0d+X
ooBlRjzoWl0jLVYv4nAgesj3/X0n94bT0Hp2DOxLcHZgIVA3bIqpbVyCATd1TxViFLA2DObDvV9L
H2xtH7yp36VYbw7QcmhNOKySDqA1oTLNIaM3O/aLSOCU1AdgYh/0uP/UnHqzMpzTi+SQcV6esTIU
xSvQ4368hiieBw9o1t/fs7Vlz/lHSwpaPD179Bbwmn5fg4aGNhxJXCNA5SnwyogYnMiXFwxMsQ0L
JGzJ2O/LEqBXAc/pYFamZutxwQAvRmtPG5JvRhK+Yc24GnPFtHul+yxExYkUyxvav8AYY6dt5Jsx
aEY3b4MV3JenPFbvhTAtr4Mu6T0N0uE607q9Bq+ZwsKb4M44lHjrvFWMe1S2NyUpVnRSdp0CDUWR
mT9OW620TkMS7Gu2bYNUp0TOeZkEjIGmM5bSfVbWXpT6WxhHNslbpt1q2fMsTpqTDsFjNVo1sTw+
c01ajx/c1d/7LT8W9iXG5edNPevzJbqaAwAwx6M5PoXzl8n8IFzjo7//bOMQhZQaOUgmKLg3oM6R
m9x98Fi8/1ToZ+0cdGiJmMjBdNTkS+wENrdJDCfn/Yssd+Gfj57JhJ0BjGbqZ4/eaDRD2JBOeLRk
R25f2iGjJrmLRuODb+N71sivCy3NKY02uiax1aI2ojL9/Rmf4gi311zKR8qYFzY19zZd+S5sFzty
7u3cvt8SlHTx5Tpyws+j90zyyhfe6GajbN//hf/Y/33zWp+Holh9ZJXLtOXYrnpXdHBb3nTr7Aoi
sbewEFfSmvu8khz48HboWW6J2OWYv7z/KbQ/dqHfPJ3L4vNmMUv9JjXlmvv+AGvAM+x2ZV0a9qlR
GWqs7zXnQneztXUMV+Mmv9E2t2gK1uOGdc+e1wWcK5fWmWu5wkW3ydfNKYSBZAfu58LujqIzrbWt
tS32w6a+y1Y373/0RWT2h0fm14t1VkELchOlpcAwSLMLu1w1r+WqvJVcIEau74Zu5OWrbFesL18u
vG6rORzY4x2Op118xM/n+ExF7K++8/n9T/VdCv3r+frH636OJIyioq8NnU8Vbi07dOZNtvZvc8wa
QPhtXJU28bV2ujaP1UZ+opHmvX/95fH95+V/vUdnqw1LjTA15TQexbnwjGHYz0Jy7Dux+GBTWlaV
965ztuqYYKj6fiZSl5ra7ocXcdwMOL7wz4vIDcrV+7/Vn7/qv3+r88OkkLH4a1XcHUMs0xMRlsHV
/9kFzs58ykhmhU4m8THR9nJMH9Ay3Pev8MEXcx6HI2SlmRsTL1pRHlFjrEoZiLL5wbfy0X06W9wa
KW3i3ojb47h8K3OKy//fjyliVKb++irOHrAOz3OXN9l0HPrRiciqTrBpZR8okz94uoyzVUn3A2Gi
OcduMOqOauVekrYnhVBDY2oA68jHHtzo/8b3oyGuQgamoOU6u6SpGIpfRm13VLNvdbwi7JYm3/r9
a/zx63lzjbOXJgUYK1ShOh6hWtO/v8qyD7oKH13gbEmck2xU4qLqjyKLNs3oREk/uE3f98f3Xvxl
Q3mzYYQRQx8/5TnmbMAEPNj1m+TAEQFbgRN6wamzsx8Dx38pf8OU+/5as/zWby6JZBRgghyyRz3Q
GCbx1TkEXNsenqWLedvbl7CK+QNb8zJHss0rwb5uvWVXv3ysLpUdp3as3N7U2pvcCdcffbw/buRv
3gj9/MmJ6kEk8bc9SqdlIxfsZp2q21xy7GStuve5vYP/u/8mfuFwVt9N+8EePli94EG/f4fOvvde
aPSwsiZqCbd3Z3eabVm3rX3qXhO7c4FX1X2UV76d07Fd1etybTrCByv0Rx/hOxnmzZckjJ2g5kPZ
HuGS26NLZzP+qq1gBO+713GDTuTCWAtr4VvwqDjjOjnBKX99/+0688D83Hp/LU1nz0nSK5na5Dya
2CVXRJvZ0VLVbRPnlpzh7ZYUXHs+kopyTxi8m63KtXEJYdXtvHBLfsFT6nzweZbC+B+vyq/XXVvm
pG9uiSlYzIZQeh0rT13rax1r9WpezRfRXrJfiLZfJY65LTc09S5Gx7jzMD3xFbXrZHUTuUuR8Fdx
8J8i4GWO/tHo3kn/PLjnR38O7mXpExRpCafB8q19R/P9PbjH9gniGA2uxlR/4e+98XbidtAXC6f6
ncrE+/9TUqd/QjisAPmDx4TxgKbevzO4/+dg3RRxl4pwCzSNqy0f4u0DZUiBlKa1Vpxkk9kKONEl
UmWaiBhm+iiPgUSrLVmlyrTNsxzngZWHj5ll7LI+WplWuy5SaCaI2WNNOM0CyBJmMMQIG8VFGhnF
KY7qz5OoPphWCXayWTz0Quv1U3L7I3W5paeaBHQhi9i4GgPyDux6jkuRObhOEK2pDaInjeKRnK3e
xeDcr0M/JM9CM0maFVvy4SUGcTETSCkAEQcrbvaLCNCvVmw6fchcKG+ElCxt3wlwCvBKOlhjO7p9
L9714AEN0K6DTJ+ntVR6ZCJUFK3WXnR+T6fM+HsrC0UTpBJouOOACCqPXyw4CN7kF0yHs3AJ8gq3
c67627SMdUfMRq/ICXADNJfuNU0YLvwIFTFgUPoHdXyH1BY0ftpyDGNEDknA0Ra6yzCrq1bvbuuo
YjyVVHe6EZzKShpoWQwX6gjfVan8zvbLvHNzgVbioIqVYy1cgqTqDmUZEyg3FemKyeMayfSOiMzP
WdzjW1oMnQNWwpmGtqEQ8DUl0ddeUg5BPh9nOeudziBqrIvrh7QVHL8rljyr8qILTbLOgG3jWekc
YUbHWyTYQZsiVuATouJKZR32nn6V+BOtuQGVnjwHXqVm5moQipdKBgItiw2BILCaKmFdiBk5YtFJ
Sru9ojB8Z3ndVz3PjN81l1Wkt7aZcGvEfuo8ddEoAKtr4m5dwRw0tBB3oVUITtXHBXpoWqWlsK5j
Aetc0RxmNOx8ewRudaZ+LevywWLY4dUTZaWaqfRPibhnNDpHdqq2eOwSkdTNwfcajJ0jGWSrPs4P
geo/TVU/rVLBXAeNortaK35WK0TuSsWcgSzYqWp1GubBVTBIF9JIXz0YETdaX2t9KN0M+RRYfX0b
VJFkz7p20XbNKaKHLVwVhZHOr9OYJhsjW+Qg5WegUhWQLuLHiBs75AxxdnFrPRaJeN1q9VeznFCo
g8yfg1UAW6lshp3VAosU5X2RhseoKHZj3BzzIr3sc0bfdPbBKfjdsNV97dusC11sx4OirqOOPiik
n36+kfX5EFR1A6M5GlYBzEV7UHSuq67LtF4PxtwsqgTITcplrT02cJiYmVt3OUhrZqj7WkYPmLXa
dgC4G5TzZTcjT+wjSJFad8ViR6O+dWWCxgjVoa72K/9SadoL/F2FnZjtvuiia0MyFlzJzQzmGlgP
sKEQ8K8t1ySPqZmRr61AQns4pdFKoW5mphRsKkQ08BpD0ysYr9hCx5OTlxI2J0lW7YxTgzkKD4aa
fytq8WtmyrDZi/TzjGdBkwhKHKtSdTUlhGZb+4ZtxOUXpqL+BQmRByKzWSZE8TIrMl4Go5JO4IFe
ldkYPdJ6X7uGWUimj9cw0dDJ5P0Tso9VpYoPU2QcoImvGLEw7h15X0y1UYESBfc5rh4XesmqNKd1
75OtXdaXVpTuRT1ezQ1GdK3yjzExNG6kJ5uCSMQdHok7s/NdrsyU3lJvJVGTGd2jpZ0ZYXnlGI9e
JciHkdfg0iisa21qNmOqwoxO6RobBGbLZUyxUiiyrRktgiAjAnzcQLaMquewgg3aTrSzSQX2cE59
C6yXCMpq0yrXCfeEfUAi/zFP7TY1LyG+rMQQgLjfMzMpfUQV/TxgXujjNWhNw47i1IK4TA4ff51p
gk/WNCIytOAYoo/G0BT1e1WQQKwG0rTRmH2NOf3WrETkWiDZ7Mx8Q3a4yWtbB9uxIAZIwL9EiBP2
GSYmxpPYzNGW5dgORlXDGD+uhLC6kSMo8sT1OEGod+ReLaj1oHlhqk86FhMOnAZYxdAwMuiqeWrK
m04bL1SxiYFzVOuO/EMtKY9DUabbUhpOQTtei1PhMTWfVvj99kVlbcgMHNDHTN1q6OTXxIIX0hjG
VRYasLrTWflR4f1nPbVInP91PcW2luNPpW767lP9FT27/NjftZQMdJJwWZV8cQqgt/YEWfmky4qm
LL6oRTfwE1MpfcL6aRnM3SE3LXimX4WU9Yl/D3eCpFXGo/9m7iwGid8qc5rAiJAtc0me4H/4KGcn
BQF3ol4RPnuZS6j2Do3csetOXQR7F1PNIFv2OPbwfVOjfGHDe5qLOVyPQn6jYvCxFePL1GNIKrtg
U1NwVGWUI/7SUrdTjaPYSpUjxB25dSXyJL+wkGAFU7iSkUXZYRkcBcFPnL4PWxTUxamZ2q/CEiur
WcNXtRQKLywatA5E0hZmtB/VZRZtxQehrC5rsdDcIlRmYqX03gXAlzI3rL8KBXFbdVd/6aN2he6C
ODfZ/CKM0iocWhQwY7AxjPaYs+naCYoTW6uGR6JJ79J2Sp04kW4UrX0ITFYu0hbMtQRZ6xREvF4U
oS2j/aT2GAk9g40t1g0jWtuEWgNj7VSoFSqfWUZLZlQ2cT5XoyzuMlF7VdtsrdTDc6NGe1XGBVIL
gjOasHORuDAB32Ri/UAyxrYYO90lzOKhaPQHK/6iDCy8qvLSWNZLLTeneo7utWJ8SVQzc3H0zlSa
+iW0LDYubdhkIQEFcYv/fxaIHaRaugEtd+xK4ThThDmxCFdxkqHXaZWZbWOmn7YmLbmionopaEO6
rxZypSaEuH1HaR+HerAGiakzMU0PoCRFz2zGO70RdvJQQXAw2p1Z9CjvrOxUIoxA1FRBWihzeT21
A+6ruHDrCH1eSTLOOjHC2o1FopP03if4vPsuIeNPjUne1MHw2TcNTKHdpS52J7HIBwcDaLWuIfSP
qHhJF0u2Mnm1RDQOgU1mKzlHYr0Fg4Q8Uhb8NS+a7wxFvxcN8RjyVfBf1l9igFN6r10OgbgNYmN0
dDlek3lwl7XqxpJQhyazfteCHRSz4HNTtK8IYQSQ2jKxfZ2ushRbISKk+SGPq9INZIIbjPIe4V7j
ps1wJ1jwtPhRnCGpUHlKn9xMAjIAMkYo76XiW9YImRMV5UGdrFOiIsJspxF9TzFc/E/2zmO3jW1N
27eyceZlVA6Dv4FmFJWjLXlSoCS6cs519f0sBQeJdh+DApo/cOjBxjbNYtXiCl94Q9O33by3++zM
AmLDWintWZgF6rOvYw02MEKOaV27iCyhLsjZWkIS1KIQhB34jOAGmEHMDAysOWsNEG+L31lt1csU
gwma1GV+0Cuqi5W9fISHw4mOZ+ssCdEbHCXpApYayLW0GGeWmpwGqZqi8EGZMdA0MPjeuHL7bB1h
jCXm2pWuHUrDt0iGcid5aHhZ1Vwb+nDm+xaMlQwApPUNh20ib0v/Vo7ynVM5eCPEpzlOHioCQhOj
kvy5OdAXGZLi0m+qdayj4RIMK1jQh3rjgBEka+K0JDLCZw6NyOGbWpVfPak56rL6gibHSd2GESbG
9WyM+hPNIUZWZIREweuqCCuiBdU4Pl4idf0tl5IEwfVOxSHCWgdF+RVOqUwWACBDzfpiAlMdWSsk
GJHtkWzSPxI+BTSWOaDQ0cbmQ42CHjgXEBVsyEeVVPZE1k2z8Mf2sHa1dqqW3qXp9+swMNCj0+Ee
1EWF1a5HIFLp9DQSc1b4IOpqv7+qDcRY+zCdx73f4dgdqPM0NUoWXcaSsE3cITDQzXr3NBO2Knrj
UguRvCt0b8+y3LlyXP1A6weUfVPBUxziSzfPTz3UexZebce3ZVchpNe1xxIyfQKxwcI2wi/IDNQT
s+2iBduqjuSZf9+nGTq+eoClc3rIhn456Fl7UJADzjgALpBFVSe4d8xacKRLXw6Qrqk0vKLN7BrT
0UPfNfVpVMTHld9eBJAxIOPT9AciBNqgVOapF/PZtr0ysGM5GNPmnsyrmTgopk3UVPVRNSskDKql
b46ucF74ZbC0HekCEbR7U2NtF7FlE0sLt5seUfYURbVTGUXPSZkVt7D/3WltD9gFDliKaEjZAK6U
hT+jujTyVAZsLNeLuM7usaz4ghmIPu3cdIG3BoQlfnJARNgMdxpYqLqXvQWG7IxpG5grUlao8jpC
N+j1sWggvzR6e+MP0UXHmTithbtMYFTYuliGB152YLrBN5o1IX9nx2jF59LYzSI9PEErJyN9xTbH
k7tuIkXmDTzdJbKAj0ZmnIdevumJYaGhhremietLV0pMvSY9ht9XnFrGeML5D3TDSkGPKas6zsup
PqjNPEIT/7aIw3hVYS2iqSx8tDy/SIN+Bh33sSviheOGNxz28lFgVnhL2s6qCrwz6LLXzhgdaFIF
uw6FT1DGpMyD3h24hgZzdgBz3upUZUvE+1TLegj6TAK+jHZRkeXjYsjsS8VNirkh4DUpyPp5ngO4
xg3EXcnlsDapfPJ7tuoiimysPOhR2a50GHjeugTs5kWQqvowX2ZFxuet/DyLWgVJXNnD5Np4yCFI
LVDGu9PlADRSYZ7Ljfk5082lmwtTVk/7FsqdxR6LIZSqAm+ze7BdphUj22xWwst0YPqFMJmVYAAA
MCp3ZtWeUiMJ5lD9IAtL7NowG6m5WkM3NaVwLafqSQTgdVoHbkiKnh8FLd4oel0uhxFFxkYzwmkj
RwchgfaUbh/nnZCyL1T8PrOwjOfQWB5x+UZL0fbKBQUKGW+Ttp1l8kDhYRS7qvklQTkKEwFkIZJC
uvbL7qZ0KBSkgTOFLInHAFhqr7FxQakyVIV1/6rGBnTuxvWq8dBhTmTMrtLm3Is7Z0pS2s2TXEIv
0mQ9wfpY9J4Uz6gUrCQiJ6GOIU87tbrPvQRRfs5zRosjJDwoTFAkYxFsOpI4KTe/mbJ0LWk2h0BC
3hY5EW565INqrD60Q3nkcJJPBst4qFCbRg2jRJhfOXRTDcPYscW7y4y+eElSTcHMq1O7AdUkJQvP
vZdt75jAAMVflB4nShMe5kapCAgwJnVBtnILSNikXXceAhyTpAuvlZLyWN5Il1biIFSdZCvd6b70
xFzo1I6IjOVZOi9qsOKk62T2UcHjIB+KLXCJuFSmY62andv2QLJuFfGUdfcNH3o8aDtyYS/SFnLb
3OYtS9cvlQt8YWjUDNqJZgY1WpJhOaGKcWUG/EageDXCy559ukxPer1MF6WpHyp2/RAmdN6UAFW5
3mcPauSbMQZXOsTXqg5VpqvYUi35np4wk79LtYmDqOYsi5vjvCoXqQzkRh4gsVFaRHbRDDcOsbHf
YsKDDchmTMrD0QHH75XjSlUhzmLBBFvlJm/JfiuiPCti6/MLZqbvoOOcUQqZFY21lPvym+kT0llZ
j7AJMV8bYlcYh7cgzFYAxmZ+lK5x8bgP6+ZM1wsEEwApesDN3JaqKehWdL6sy95X5r0B4Nctsqu+
wi1Rd1aOISFgGSL4rE2HAIfJQUOGAP141NCPyz5bIfg6jQ25VQ+rUBmmhWep0UWcjubtkAUmPX7J
aPkLo87b2SDSYyOXnuE//8lBBZP79znoVVBF5B/N+yRUfO57Eor7oA7aHbnfVyXg7wV97RMyQ0h+
gLnXBA7nRx6q4mYIgFVGqAgy3hNJ76Wgj5MC56JIHYmZRIvA+puCPrLD7/JQePb4/QhSH/6wpujr
/dQhgl8BDrw0s/O+lK1FKk4hnTgEO5XuwLdgzbcDOrsIrMp0vznY5DghdDADK1ohOJzdBolbnZji
wKw0rbgKCdwPIN5Vp13k5o95LfhQ4nz2Y2tA/l0Z8N5zpE4D+yz151WZ1GdFCGhakk0Ia/AOsBh1
lXg2pm56Gnm5g8UBcVIfG2eeopAAeX63HNEguSEUMfArscqrTjWak7ryrRVwWKRtrEaKFoqBzi/Y
7Hria5W6gSQT3xpynB54RoXvSe5W6xa957kv29hgl063tMKuPGr8Nr/oRLDYkMhSQ8xnbafo6NxK
qd4+ZJXn60cKkdEApSOLGvg9dSNtdM8J/VMfP4ACBcQqLc8sP0cUw1N6/8oPHcCkgJgRYa2p0nWn
RF1EgrKnY2+GTn1nW2jHtZBnZobqxcGRKaXSMEG0ZLgPW7WAn945iJa4/Z3ZxdoaXSgjA0lspgtq
WfjvNOgI1102rkXbhvaIGsjAY+E4B57icIi33j0zKZjK6Tiu3cofN2bQ3xL4LFIvOJSEk1+imO20
M8hcpLzjyLSVZlhGkFaOAM0Px1HW51S2naiHoZNJMa5MXgC6u9boebRCvCAqvuhWEK9iR7nRosI/
yKUC91u5ayeGXYKqDyvzygaKv6ql2rnJ5cI8RU9FnmG948jUEA2i3EpGGqiNnXvJ6qRDLUbPKO+T
MzRbpFlZt/2ylaSqn3dxUdSz3g1yNCezajXkbnqJYm6FqPFofvUwrp6NDrt370aAvEPiQnAP4R1k
u2zajdZwXEVjdjc2vXTE5PWmmpV2Z6FXurf2mHQ3qQgvmqwPrqSgz899EZik8FriWUquV02qCjfd
Fsmnel71RjXzyqHjrE8N80Bt1Y0DOwSbhkOr77SLwSxtZN4zU9nkIpgrAhkjx7wyJ3UHevVpC/rP
XqyD8vnDXpzF63SLwpL41E87MZsscHWLOsIbQzQqhbIJwIYmKuQkIUnyqrBkI6PkKEKnzZbh48g0
PF9bqyi5ayghyYglEZP/JSdasUXr9EevnoqgkFYA9CzDWyY6kt/AmigthaXeqMOZTcJ0TqMxuQyU
3LrNYl09HLoouhuU2lrYdSuf0FFwqaq3/kwx2vGz5XT1lS9n8RI7SHYP7F/nllQjBhEUxOqFfBrH
vnPSCo1nQ6g9I7HD51uUW2bo8woyRt4fSLZz2KsjWkw1DDS4L9FD4MqYPqWdO5OHEYk41OO/Jr7v
HWYFnmi6VIczVahRV7adT4dy+OyoxdQXO5SbWIeN0LCuM6k7SoWudZl1wNSF1nUfy2eRUL9ugiia
OmaBRQjS2JrgWmaOVgM4DceaUk0YbvJB6XTkbpMZnpDeN9oNd37vuTRu22kgml8ZZFSye2pUo4NX
KqTzc0/xbuVowLdeKxd6nl4YGQQuslNpWZveiHliox36vmzNY5quCgSXVVDrzgzVIX0Zxak+b1XV
hQdEAZYKA/zlJO+oo7YXYxkSKscVCaqEa6dkoE0UkU2qnnMaamy97cDoSA1nVoD5+Az5dnSKIXXP
BqvLV4VfHTZq+BWPOnTEcdqeIFYYzmEz4SpTjPUUuSp/LnVKOYulSF64pnIQ6hKJTOlNe6NdJnXk
Toaxyddt5oUnfa1vpCiTiRG9bJIYsj3rUvrdoXeFBe0FHsEaiPl+qbbxZxWzMOdYd0h5SxWx8kI5
z1T7s+xVFgwr+iU0oXt2YeQeoH7lfI8pasJxq3t45xr51EqTo0pTNoaRNRCluqvWR3quwk5mGsnU
ipNEPrM85yBNsmWrGcdhj3JLJy99pVGp0Xl4+LjmORZpi9ELzpIxoDxS4/WrE/OOxnBiDPksj6Qb
ABCc/71+BC2adxr3a6KW1GTJtx3ffugt6PnGcFPQhMO2KKdILdyL6xSS9GkR0faaqprZPOiI3kyJ
y0p/4Wb9sdNx5s8t7GiOFbMgsKGQkx3mjqvNEHbpjz3KTav/bMbPOhWEqn/YjOs1tnExcmdbQmM+
+X1Dlj8JlXKYCeqr4ub30Fh4diNTodPhferR/Lwhy4DnVXTtLEjMTwHr64ZsofupY14PqdFE/Mn8
K51O2j1vN2SwLgBuEGlSdHZCWYACfwqNJVvSorKPs7NmMKPxBCFNIzxVdDlU53Wd4LUUFG09TWLj
1KAxAvjhQSc4nZdqct0qAEASJTku1PIuHrLDuEovAzSQaonqthbizG0YJ3mfRdPU6pb453ioE0fH
REtfxjDdOAH21FmrVth5mdmF4Y0LJcHdwafb0kC2o04BfT2uwxOCT+jxNhRnrU2VezSsJ9S2vRgb
otZWVrKllcGhGpm1t4xwaRonMr4YNONzDcsbV5IJ3wSz2MIHZ1lYGOPG8KWvNbemA+xSHGgQjCDk
PS7DoLoLqefNGkBu6qJt2pDyahMeWdhThVMoIFVHHE2+6lR2GR5EqdWO86JE7m+ekAJ5QCf6+wbx
wEkXp1+s3GiozopmhQMeMDDXuYtcoNUV/UVox92C4+GE46eYqlVNG9kP5sWIII3voHbttjeq7H6W
SNVrS7psrWSatt0KCYQZXsTHfWeg9WsCHsrNaRmrl0MVrGlrHaEILU2yujkhMyc4l/ID24f9XjrK
ZdtIK1OhMuwWp7aXf1O1EmHM7oCCw2FnJgeeWxx7DlxitT9tsvKeUsKl48cHamjeRPTXfMNCh8k7
M33CQ7SLruIcF8g0mMW5vOyM6rKsbYjXWE+a+pfEIvh37LVjV3DMO3oHiaaiIPotVeh3xeap1jXz
Dh8xPR+nClAVN6jOnai+w8N4ZjX2LJcot1n+KeZxZzaIHti0p2mFg0ivfhlx1WjVcKIn6Sm/5TQP
uwUGXqd0+k4rzcEp3KDWVx+GRrjMTfmraoQLnEZPcq2+9zL0C8RP71nONbYtOKorS9vsceumcoJL
6mmj+uBZwtPSVC8KKnn1KN0YvraK8b8TZU128GRVwdQDnz9x3GLjYOXSpvEXK/RvMtm/rH1p4ebG
sabbC7VJTuWwxX99UI47vb9vuYmpkyqzKFWOcQc/tC1wT3597FnKglD8qOv9VVZh72EP5aa0VIho
/WU5RM7E9VrjwjLKZWB2/qnp6ggXqslZGcOzTKIY8fdAzdA3FQntxOiLMxmkTacwpRphudYCwikE
HCcHlzOAz8EaFDtm7dgCt9MLAE+P014bx9YMIuTXOhyYfoB98txd9gL+I2nu17GMTzoBDLKT5hpd
xrkmadYkEuAhCL0B3uUCUCSgRZKPhkzeSulc9ZUTV9cvdQFEkvSknoQCnERycR6CVqr0BN4N8KXc
jyRgCla4KHrlpAbjBBJoalDKlLuqmTM7+LVUAigs6s4LF3pUClZKFaApf6iOYlBU0GuPNVBVCuiq
hFp3LuBWXZE8UKHlxxilmSogWaEAZ2E9e2HE9gpna21WCgBXKqBcKHPVorU8zQTMS/UNwEIgv9Cy
oGUGFoxc7rYW4LBBwMSkZDxtwI314MdMASSTbHA/OdIGvbD+ScP20gR1hi39oWTAE5WaeBEPKW29
oDsBIIn3qQCtJQK+5gggmyogbV0ADThshuNMwN1MLTiLouKmNSmBohp57ZkG8x2pnhSsXGtHZ5Ry
lSlSPKi/lOGNI4B1OA8h1CnAdlgaxke+YUb/AWY8a1QZVIh+f/ZfN2BcN+/PffGp13MfPVsHqVsA
FioYCDRM/vVD6lbIRmoyvLgnOdufSmKa+YkuoUBgGLLMmSzY6a/nvvFJ5Gz4D5jMLOyclb8piaHs
9+bcR0eXkpvMPVB4A6JBNe/nc5+dXi6IYRGOjMGG9kHzleweLkZEMUJu49lQxl8MxQ2mQ+aeBKXd
zQylw1gvbc/Rf1pZjgsAnzoOyqrFrJKCI7+hLWWRP2VqcCXL0WNL53QqZS29FqnDbb1TTzAApJUn
m940qfKztJe/dBQy1Eq/dQqcJm3f0RcuxpATRxoXsS5J86Lz8ZNAGRfXPIwj8vAzKNev+ZDdtD54
g6yu0Gkwzc9lUa/SPv1SO9IXNx2OfNOilBectJF/jHPy1ypDEzNwrPNSMx5iFKvnCQ82AUdnLrE6
hryQ3SUDKiB6qI1cVqhpxt0BMrQ3gwqp1au7ha6P4PdCDZ5sF8STSLIfC781ZnCajqs6vu7AfUxt
z5gbkX2ZBc5jUTnnwAgx1Sjoy8teWM/djrpY3pK4pQ9und25hXpWZekD5VVnSo3SmzdpZx1UVnJO
WfBAmLbqofc1VlH9yWMbHQEziiddnj10inMSSdgwJUOJ7Al7IBItibMgXkO+SbGO64qUTnehMJNo
BHlJg61byGV36DnOgacal8PYYm4ZbjCQuNYCb+lq423ijclMFsU7fiRHxkGx6yz2QBkEg4o654UJ
E9t3+m8chdmM0Ar0qitPmzLErUtWv+iecanXA/K6QXSte+q3RjXb1RCIjyNgs0Bp/DaRmoMq84nJ
DJNDGg0jt6nDJdIPd5lO/13Nm1M2XRmHWgvDcoVsTSY9NMdoIVsoYlDLWha1j0BYlOOgnPOrAcdD
DsgwQQYFGp05e2EGVbV0K/pttBQPhUbKrGTPnxjdeGkhQtGlBAj0d3DLdQX6A4yzXPdUBMcKjn7D
jDMozk3tkUk8VPyGiZp7864crzKv5FtTmzZUu3Dl5mq0tcOgA0hpqbhGVoXrzbwYwGDbRA911t/a
oLyQAM7vZSXDXzJzp2XXAy6VgwNyNGmKTfaBnErhTLKidCrLGWIM8lKRMdjAy9Q5IIAcJlprb5Kw
OAbO0U7yKszn4HtWpjcMM7Vp0zmdlpusMA5dgUJlNiacGfV91TicM6ViouECIhU4lnqkpxESHxSE
vFWsOr42i6Lui2qjfjQvpcoPPjMMbn2m1pbXzc3A0Bamm8jptUXTP8ObLR/pOpWxkMiwE+scpFZA
wlsE/rlW9N4dEjvzKmYKTYT+8WmO2hFgaKI/3Lhlzj/fcrwrv5Dp0TtGfyHHEu7CRYC1mUU+Tcc7
Hme9bVbFqrFkl3560D9JRmtxMqsGDSR+DGLY7AtErjX1NupkOTiJUWZjn4l9Zdab1oPsNU1IUjGU
8GM6oGGoXke6UcyBUlnetVxbcXWnuq1H20obCfZAJ5ju18gIfP1EVstEmsRO3+T/OS5fjss/1i3v
mvv1lsPy16olrSBaMyAOn/kb3w9LuCLkzTIyShqiLWTLP5Jkh3cclI8svCvfmFnYnxzF1hSHt0hr
9b/zn9Tkt4cl30FZ1BRHMyR/qqu/HpZxXaL9lfXyWR1mt66TYqUcadKRiqgb+Aclp/SGjGqT6s5p
HyFIl4HgRYFBPywzI8W3ADhQoDvGcVmOzUS3I1TTOnPZds1VbPf5STlKhMmyDrjxQWkjEFFJR50Q
tPNodivHtReBBVUkZ49uhOVS6mANaXX6TZeWB3rgp9cI5+I3mOcPuCCAI89vSgUPPSJ71JO94iEe
nGiWVcAniq476PO+ByCT+ekFnjhLJdQB6GnmkWt2zrzuZHeadBJcfUWoEsUFxax6bTXeg5vY3QJP
QxwbhrxY2amDRVYmXYKHjs8dBCcBghNxogyEzOBgWTM3AMrjSbSqUxc3bRrdbFraYxWYF75BBlpj
KU3Efxuo2nWdOflMCtVNHhk97lveTcmuFlC0bExwHcmoHLiF80hgkaIk4yOn1l+kMh0PU71LUu8o
HJ1rJczBgY0Co6nK17kVqpORH6H283qKgy2i8zUq9U2FsKVV3dKrgrWBcsqk4OCAOHJux7qCLmNw
ETgAR6QEJajDYUAfkWj9m1zmh7Ipss3gqB0yb6WF1WVjOuWkpzM9GUtQCpYZT0IzJlrJ45kFhmxS
SBLNstRRLRCNWIlEB3ZWJvMgrewzR82HZZza6qQ1w5WSFg6g7HKjFq08wZDZu5AE4mwMjAeH8uNp
MajfYmqC5oROpjwDRu6cYqMJyT5FK8qNUHhCbSNapGyGh16UnflQdaZybJ/BOqmn+BUDfhtADEZk
LpVCzFOqpzRrUkAoOGbVgQ6CqYHAoxgo1PSgLwDCfDVz/3MUwXQpG7SiVD9Fchp+T4VhyiROwwwo
HaX5YJgobnafeO6SVEg/BAp4odj5N91Hx83vl03R29MUwempXJeYwMTFKjeTw742ENrRzgYlOiMy
EGL4YDPkLPwid+6NkUjVQR0h0e9L1k1Ze4jxKeqxm6sIednAF4siCenaypfJUB/KXbAsovAyCHA8
beK7Ti7v6QJkUyVSUKwBqGOXUTODjSIUklPwTwyuoUuHGC5DG5QFowlvUAAo1rFcKA/IN2uzqh6+
5JpKg1hB9aDi5MO8AS08dOcid5TJ+eXTLu7ufcZ6bmq5O03NoCAEzm+1ND9x8N007WwR0p1Fcs19
qOVuYZUC5Bh3xZQib0YZu0HILiqmg4NKYjoYj3VnnHSFSu3cDo8LF+BLkCeUn1F9xsLgqx3i2Jyk
N0o0flYQVeT+YjrZxsTpnJNSsAi44Zk3th2KXxHqMcQaeLReVo72daid/IyGbDzF4KU/lKJBWmVJ
B+yG7nUbFVc6bV4/jy5tMzXgepEyYw7jVivX4ipj6RsHiaXP0VJtZqEmxaskUS9CGWynTeedWK2i
XZBZ0RSOP2xcQGtQJqyzMKOXgKRrPIOoBsTWo/ylyvLENeQHe1ReuPP/H/QHX25xq3/Ud1l/8e55
Bor0Opu/daD6t/7RK7lx+4Ve6AL/niGVzlH3S6L7dGNPllh/vE68Bu3XPGJ5pemfdNicMAoU5/n1
r39wlfde3pYUXBLAqGnCOeD1fb7xp5H63Vj8+THfO3a9v84fH+Etq0KkwDsOxZPttQPQxXp+UtL3
X4ZCVUXx3gbfxTt7OQjv/MT/fj7QTKY9wWNSYRAveLq/DgJtD0f80XA45UVl5P9+KH6OT2kO0yX5
66nAY/5YFNYn1dA5UoE+vT7kL4MgFoVioVUFsePptQ+DIMpXb6hGwtftr0eC6/w0FM4nBeF/wTfa
PhTQlFQ8AWhNMVP+72fCu0EQN7/zIFgY7+nU88hYnl7vFgW8dzqBloCm7eEYiHLkzmPg8DvjZYzu
2PNEENPk54OC3RGmA6fECyRx/44I/XnbfpZU+X76/tVpiQ21Tj/SQMjg6fVuEBQGAQEEEDr7OhN2
DxmwVHIYAsUQa4vX23OS3RGckGUY1vOs27+Z8HJq7TIT7E+ijw9BkGf8dR3IPL2K4xQ25uK1Fwfk
u22RRbz7tkgnBCtAZHipqPw6BkRKVE5YKHu7IT7f2C4zgKdXQCRDk92+DKh9GUQRCrYW+7oXgLTe
MTyw+aFNFa80ul7i9W5DxMqFUJJxei4y7t9e8E4V5+9jZuuTxmbAisd2SrzebojMhCeEDoTqfZ0J
z7/ODstBVz5ZBhVWlXbk0+tdjKQTQOgaMdK+7gn67nuCCQMfwyIZx4Cn17uZQJCk2nDznX1dDvJz
GL/DTNDsTxZaBngDPI+BiL9/PR04IUX72jbMpz1jX7dHoaW64/aofxJCiTQzXuJFNtxfhgKcgerQ
xxfGBvuZODzHsbtMB1ARIB4MxMZf5sPbMSBctA3+CBXFvRwEITG220SAEiV6YzrOoW+eXmWK0DST
yS6fh2dfx2D3UoLKslexh8R/8+n1bjEYn9CUY6IQV4vXvu4LwqZ1t+mgUVXBlZa46WVNvDsn6JuC
PEJEb1/PCeUjDkuwy2QQ1ksA/facUERw6Zio4jxvQvsXOyq7B9DGJzRzRRLxPOfFpP/1hMAmkZCK
6bKf9TVIQR9RecdQmaKyKOL/8vREzrxh0bPf181A2z1eAmuIJoSu0oh5er3dFxkE1cEI03GeS2/7
OhTK7vGS+Yl5TiVVp4j/9HozH0ThnffYN/d1NbwEMbsETKx4zkhLJqF8er3LqVXwMYaCJ9beHg7P
N7bDIBAw6RQYbedlTcjvFgWFBd4WFJw9jZiE8vLOYYIDNIpM6iVM4FF/3R5h2jMIcEb3NnTefXvU
P6EFCbf1dU94GysRJoiKO6fEcw1qb7fHj0ilKLZRVLVeejBvgwWMk2WT3u2T6PF+plK7x84cl7gu
MQQv9YW384FGlDBVBtKwr2HjSwVsh+1Ro+QomwhGmr8rObJ/IkjGmtijNj0H2bsO9e6bpMWTwm43
7Jej4u2iIGbAi8Oy4au/xhR7uTSEyOeO54WJbzqRtIaI4e8iSVD5KAjsbaNa+EbsNggUonXniRnz
UoN9V3GRPxFs07V5yd72L600no+wHfYHUW8ikmaXfBmEd5EDMSTpFqiufT0u1d2zCQIDmtDf98h3
WCZ2BsRB0RZ66YXu30wQ5cLdlgPVeBWiuU7K9Js9AewKcbTM/vn0XXs4CLvHkPzQ6JUgIfUSOL3L
JsBtKCBX9rfeJsiEO84EtLxE1wWRr+dz8G3gRDMCLQNaU3tbeRX2fzsOgo3ZyNMwvED7ts0EQdGE
G7zX0YKgpO44FBocV9lApPp5Y3hfeiTIFPQcFNz2dGfQdo4W4OzaBpV2sqrvv/evKTbhhKzK9G72
tdgiTNh2nAn2pxc9kt/FjbRukKHXCbT3dSbsHjw/PaNlPJmK/zIF2BcVU7Pp4r7MkT0dg5cZukPY
KIIFuk4ofL2UHt/mUgLkqTu2Ie/tatB2j5gserXCPYHI8PUI+GU+MAiU6vHfFXI8rLz9i5hecEY7
zAQB59F4RLiZvx0EExAo+p/Pe/D+DYJQZthxXzQIjZGfp8b6fES+Ww4UoTk9gfjt60wQVsY7DoKQ
wgCkQv/pt4Og2aqiYBGyp8vhZZ3usByot3H2wR9+PQK25NOkklAlXuCE+7cc3omi/D3Oke6cJiuU
2X4zE0Q+7Qik48us279B0HdeDlRWwLUTDmi/Q7yqSMaB+mLj2NPloO9eWQH7DKsfzNJzdXlbd443
4RUSKojXvhaZhNvobtsj8wG8kkmL6jfwNqIF0M+kD2Lh7PNQ7D4rQPjym2uI0D7HDO8KDGJ/ILU2
hU7hXgZOxu7RoyDMKYDYqCo+vd5176EF0LkXZqj//iD8Gzvpd+7x1A/ixydqcrCpnthNz2Tb//Uf
vDJ231/gp7bNE73yl38pqMrP135u7oj//6/1YxKks6Cqy+ChVp9C5J/efQ2Zn77p5fMvj/j+y3/5
stfnev3Lg2BTrssHhAieqI8vN3q6TuA2/3fMfx7Xb5tOovr1+nfbadbfd4Q/Xx3Dss3rhX7Yuwn5
kR+P+v/+9etI/LTd/PHiyfoxK18v9NPF2Uh3vvgE6cRtN/69PbfDqEzX8brlJ6le7/One2e+73zv
U8wwqnc/KYcMu9cHXDyty/U/06yqt30FJYadv2K2if85zcqt48/es/P15/E/s6xk8rxe66fxJ2bd
+fqLclNtUzEXO/rOF1/GmzR9vc5PN/4Ry/WgSe6z+LF+f3mB7t751ldJvimDdfx6qR93r3zEkl3h
b7Xl0h+xYo825ZYxF73RnQflKEi9LRuBwAnufO3jdbRlDxPouw+4dFVtto3JRyzQ46z6579TbxNv
to3MRyzRk/UjG/DrOPw0ET9iiZ6ssTXdcu2PWKLi2nm2bXdXP2KJnmzSx+wh2LZ7CYbmztPmZFM+
bB5fL/Rj3AXaZ/eLZ9z763V+uvZHLNOTbOuYfMQq5dL1ptwMW+78I1bq6TrfMtFF4r3zgJ9u2vX7
2BGTjY9Yomflmi3g9S5/+jk/Yomex+uHzZbYUdQodx6W87hJtgV3Auy688UvA0LHKnjcMjKi3bnz
9a/WDyUpQVpvOUuFdM4HfEH6z2SDIOi2L/iIpXq1Fl9QpuvycetGJiiLH/IUs2DjbXuIj1i14iEW
rICHoHrY9h0fsXzFdxxm66LZdloJzsaHjNJxE1T/nN0HVb7tOT5iMYvnOFnXm23X/4j1zPXr9T+T
dXm/3hYzCIGxjxgpvmOK6vaWzVrUyz/qG8pmfL3Yjz1VsLp3/wJ/vTUnFPXk3S9ODWPr0HzIYv6z
BeBT1WSHfP/qT65Wu188zZJtc+ZD1u//ZgGz892LMsuWc1jQR3eeM9cbf71taERBe/eLE+MH9Zag
TQBTd7/6n/T3dx3064YCUbKtLid6Ujvf+2eu0Gxbq8ZHrNW7LN6yzwt+5c43/gcV5z8P+bay7HfI
w/ti7auu47aP/VqLFv/iId6sy//6HwAAAP//</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solidFill>
      <a:schemeClr val="bg2">
        <a:lumMod val="90000"/>
      </a:schemeClr>
    </a:solid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plotArea>
      <cx:plotAreaRegion>
        <cx:plotSurface>
          <cx:spPr>
            <a:ln w="6350">
              <a:solidFill>
                <a:schemeClr val="tx1">
                  <a:lumMod val="95000"/>
                  <a:lumOff val="5000"/>
                </a:schemeClr>
              </a:solidFill>
            </a:ln>
          </cx:spPr>
        </cx:plotSurface>
        <cx:series layoutId="regionMap" uniqueId="{9D6CE6DF-7E9A-44E3-89FE-D08BC2AB54E7}">
          <cx:tx>
            <cx:txData>
              <cx:f>_xlchart.v5.8</cx:f>
              <cx:v>Amount</cx:v>
            </cx:txData>
          </cx:tx>
          <cx:dataId val="0"/>
          <cx:layoutPr>
            <cx:geography cultureLanguage="en-US" cultureRegion="GB" attribution="Powered by Bing">
              <cx:geoCache provider="{E9337A44-BEBE-4D9F-B70C-5C5E7DAFC167}">
                <cx:binary>7F1Zc9u4sv4rqTxferARAE+dOVUDUpst2/ES25MXlmwr3Pedv/62bCcTUfJcumr0cFVHmapMTDXc
5Eegv17Q+PdT+6+ncL3KP7VRGBf/emp//+yWZfqv334rntx1tCpOIu8pT4rke3nylES/Jd+/e0/r
357zVePFzm8EYfbbk7vKy3X7+T//htGcdbJMnlall8RX1TrvrtdFFZbF31zbe+nT6jnyYssrytx7
KvHvn81V6H1P8thbfd6+Rn7/bK3DTxcJ6PDJTKq47D5/WselV3a3Xbr+/fPWSOTzp9+Gv3BHuU8h
6F9WzyDM8InQmRAES+PlIz5/CpPYebusYcJOCGJUcAJDv/7ai1UEkh9S6kWl1fNzvi4KuL2Xv/cN
sXUv8FD+GPMwnjYPZYOEA6D8/vlr7JXr50835apcF58/eUXy8tTyzkw2d/z15uUR/baN5X/+PfgB
PLTBT36Be/iE/69L24j+H2hf5qvYOQDUlJ4IAzMpOXuFWg6gxuJE6hQZHOFtqMdrtB/ngfwIkAcS
R4bw+Tp+Tp68OPnn5zM1TvAGXiEwevkAlNvzmcJ8FpxSA2b6r/P5Q0rtx3l3iBFQ7wodGdp/hLBe
Pq8OgDXMV8QkkZy+s3aTEyIIg7V7G+oPaLQf6OEAI2AeihwZyOdJXK7zdXcAlPkJF1wIisTrjKbD
GY1PuM4Zp0OYP6LTfpx3RhgB9I7MkSH9R5h68SHMszzhBtU51t8zz8aJgI+uCzaczmM12o/y4I5G
YDyQODKEb6oS5vIBZjLYZkoIwQTvJ2AEZjLRMWMG30Z4vEb7ER7Ij0B4IHFkCKsNwgcBWMeEMvTe
FAaAdZ1xDG/ANsCjFdqP77b4CHi3BY4M3T+i1XNyiPkrTyiQKUQkLMDbpBrB0kyIAc7TD9L9K7Ue
r9B+eAfyI/AdSBwZwFMIIxzEeeIngmKu6/htgTYGOGMwwVKHP1jfnr/jNdqP8EB+BMIDiSNDGKJh
q3qdr4oDLNLyBBscjLB449PgHA0nM5fIgHV8YIU/pNR+nHeHGAH1rtCxoZ2EVXEIB9mAWAcACZz6
1XXagZqcICQpN9hgPpujNXoH5235MSBvSxwZwuAUHiLYJU8IuEOSv8WuNyGtrakM6zUhUhoCwUr+
q0Ueq89+dLekR2C79f0jQ9aEwEe+mbtFeYgZLE/QJjNBqXjHZSLgUzGpCwzR7F8R/qhe+5HeO8oI
xPfKHRnyNzCno8NgzqjBDUHeC3iRE4Eh4sU2PPxXzMdrtB/tgfwInAcSR4bwl3D1dJBAiDyBNXmT
i3p1l9CekCYSjGJEXmf9YPUer9d+nAfyI3AeSBwZzpPwk5Xk4DQfhG0LYnCdvKUojKFLRcB1Njav
gs73uc4fUm0/2rtDjAB8V+jIML/xisDrkuqfh3xTUkCxLsmPtNQO5OSEQ6BbRxzm/db6/QGd9mO9
c1cjoN6ROTKkZ+E6jv95mCHTrBOkY4OAm7zFuglwMkNiQfVB3nG0JvvB3RYfgey2wJHBOq+ixyR8
Lv95ZBksyZJDGmIXWXaCOaYIcs6vhnl7/n5Epf0Q74wwAuUdmSMD+jyBYpEDoIxPmIEM3cD8Fcud
aYxOdEYglYEHy/RohfZjvC0+AuBtgSNDdxGl69xbhf88wBTcJINIfcOjXz5Dlo31E7DCEO2GnMbm
M8hJfUSz/UjvjDAC7B2ZY8M77g5BszmUAhGwx+KteGDIufAm6m1wLuUgTrIYqc87CP8qPQbdX79/
ZMierfND0Cz9hIqXlPLrJN3M0i22BTHOTYgMKgsGBX1j9dmP7Jb0CGS3vn9syEIp+CEyUfwEQIMC
Pab/DHMMoeVwDaoFhtCOVegdbLfEx4C7JXBk6C5XwWFqQaBsHkPmgb4YV7Qn92RgHXMpBmnGsfrs
x3ZLegS0W98/MmRvknB1sLwThKw2RZkvn+GaDB4wYobU0TCFPF6j/egO5EfgO5A4NoTd1UHyTuAC
Q5klp5K+VyRATqjESEKUa9sHvhmt0TsIb8uPQXhb4tgQXsWfFDCrVf58mA0TENKAEgAs6dtc3vGS
xAkxGIJ8xQDoDyv2DuD7xxkD/H7JI3sBvoQVbNM7gHtsnBiUC8hMvBV7DYsHIDNhQIZKh6LsbeTH
a7Qf8YH8CKQHEkeG8HJVFOsDuE6wiDOoppcGebXSu2lGdMLhMpN8wK/Ha7Qf4YH8CIQHEseGcFJ8
+gM2NYbrQ0xkdoJ0Qqj84Ubt7GuEMiFGoXQX2PjmM4hzLT+m3DuI7xlkDOx7xI4M+/PVMxRyHmD9
5idQxgk5JvFW3LdDwtEJZBihSAQPLPd4jfZjPZAfAfNA4sgQ/rN6PAS+m52sGKLTUL338tlxoGEz
BTjPEmj6tn0eq89+dLekR2C79f0jQ/ZiXa8OsnMV6jI5EZKit7k7JN2wUQZhqMrd2Qk1XqP96A7k
R+A7kDgyhM9XuXcA6kXFiSGYDkvzW93P0CZDhEQHp4sLY5CPGK3Qfny3xUfAuy1whOimyUFK68UJ
WFawvfKNXA+tL6QlDM6EhCLOfaUCm8c+VrP3kd4aYSTYWzJHhjf0PIm9IlxVh6DZApwlBEU9/L2A
NqzZaEO0xWBKf0yr/WjvGWME3nukjgzx83X+BM1uzH+6LxAs4BRxg//cW7GzgINzLYGbYcFe2NnA
qRqv1368B/IjsB5IHBnONxDrO4eGRoeoHXhZyoWAONfrSr0TCIM2IkRCWxk2APlDSu3HeXeIEVDv
Ch0Z2her9BAeFcRBYFcFg3zyq0e1w7oBaAiHITDq2x7VWH32Y7wlPQLere8fGbK3a3d1iE0zEOuE
Mi4OgbB3ti4D4YYdrRiaD7wStsFUHq/XfowH8iNQHkgcGc7XHmxfLrznQ1QW0BNDIp3St4Kg3Yog
sN2wuRmqRgaBrw8ptR/n3SFGQL0rdGRo36yecmjyFZeHMM8SUtHQGYjBnvSXz4553hTybv5Aldjm
M5jZH9NtP+p7xhgB+x6po8N9k5yGfpOHwB1KOnXoBgQh7lfchyWdECNjiCAo1B+WILzkhcdq9R7i
O3c2CvEdqSNE3PLWziEAf9nWKnSo2R6WeArYdgHlJvLHq7DNzjZ0eLRO78O9PcRItLeFjhDsKXRj
ffKKp+THM/8Hmu6Ccy0kQgKKsd+Z2uSEQethXdKBBd9A/VOjMV7/+3DvDjMS8l3B44N908sgXB0k
bQnkDFLRUBX6hv1wssOyDu8FhtzHoOwEsP+IWu8ivzPIONx3xI4P9U/Lyis+XT56RXqI9V0H75pw
SGvB3H8jalvl3lBwBB4cgu5we2b9B1V7F/299zjuDdgreoRvwWmyyqpDZcUgJ8YILO4vn50ADIYI
DewHMIzXvOgOlY8/fUC599+B4SAj8R+KHRn2txUs+Ydw2GGfB0WbuMtbuwuAdWvib9oUGZtFXx9U
MozXaD/WA/kRMA8kjgzhVxOqVvnjYWw729C2TVL7nSAcAM0NCWE4aDn28vlBKl+PVPiwevtR3z/M
CPD3Cx7lO2DmVT+GP3/sNA0KNWkCgqzox57qHXIHG0OgIRmsBLs++4ZgjdTq73DfGmM06FtSx4a4
t84PQuWhAwZHFJohvAbe9tUXw0VYEGAn0Bvh2253Mlavd/Devq8xWG9LHBnOt1DKBKfi/PPTetMQ
A3ZqAnV7W7Z3QrAEtgpALxToNLm9on9Apf0YDwcYAfJQ5NhQrqBTZnSQDvxQtCZhrw/w71d6PuRp
4KDBbMdYkh2eNl6nd3Ae3tUYoIcyR4b0HSyW1UEWbjjTCpZlit7rKvlCyKFtBkdgwH9dsj+g0n6c
hwOMgHkocmQo/5mEhwi2wGkaApphwKo8cLYgvgYXBIZGRtvYjlVkP7Bb0iNQ3fr+/wNI/17FrRve
nG/2x49nuydc/sEj6iBaDl2IOAenav+yvPGqMHQLhe0C+7wqaJ/982S917m8T6f9qP4qu3WPr7f4
9w/lMCfPvX8q3c9z/qxVuZq8nBD4y8F0f3/15fbhbMOB6Nvit+eB/awQWjz//hnqiSiUegMt+nn4
4GagraUTnMsfwasf78a26Bq2cv/+GU4chH2XGI4v4xyINdQwwKjN+u3SZssH1wWUoYKfxTddnWM4
F9H9/TOFsxlACQI78qFrqE4NmNxFUr1c2tS34bfBoN2C/vMgxy9J2DlJ/PPJvP37U1xFXxIvLgsY
V4CpT1+/t1FXh+Kozc4EDu0LGVRIQvUjXH9aXW86ZMCD+B9I7ERty7r8stNqjlNFKpy5Ko6lv+CV
G196jJ97rnAvuJ7P7J7rV1kXGKp30DW12XWQV+sEpZlqW3fh1/WZK/C0ptUyIMTU6v40jPFSxtjq
iSjNmrWPXUqXKOxCRavogjA5tR2xLFxtmnTaFffdr6KL7/W2NKWdrSWTKsdShV28CKrEcjXNUdyl
C126d3nXmBpDV10QXlSdZ9UGumhFXSqDt0su+5meY7PxnK965ikN7mgS5s2j4ZXnthFMy5x+o044
q8vyNLb5tKTGWc2yC9t1L4yknRo9Mx03vaiIr2iSnectuYc9AnMX4wuj65QWJJc+9i8SDU/qyrCy
ordcVP9peMUX163OnaYz60TOWFNNaMgvcpJOAuN7kRtkEvlNZbpVddobcmU3Qnmc3ft+vdAKw6r1
4tp1+pnm+1aU9oqn+U1XdIWyW+/S0cU8EI2Fff5VL6J53xXXkSwfY9JeaDK+cO1sWfNorvfVaZR3
8yorlHDS78JPLyA5P+ltY0Eddi1ckSqppfNSxLFiYXMeVEJTuMvOMjtY0YRdGyk3Xc/uVFiJy0or
lw6JrN6pF3kfm4XQrn2jXWBk37Go++oYdMJjD6vM9SZ20DLl2igzRZSdezJsprzJ2quwq2wr8fhK
1EY+S7N2JlO9Mp02vSckdVXUtI8xOC2OynMHZZOiM5p+Yhcy9+e+EbuLMslz/5L1fespn/GYzmo4
gnRq4AbQb4uFriVolmRVqDSZXgdJmZ7GPK/NIgs8hUNMz1u9r626w74KWy9RRuwQy6a9fw0nLMwC
ggqll87cj3FhQbmwnMAt9WZM+t7EcSWUn4psUkrkm5Vo2NyuY90qeHfjsS6zSsNtlU15MO2rMjWT
NCOqcYqvMi/RJOBVp/yQXHmyS63e/97otqsMjdxqxH5KJLVkxy57ok9ZHlxkRdBYQVObLLTXXs/O
pV/eaw3InedVWU/gu5WZpVWgKHcmXpRckSS6a6rSs9K6KJUNB3OZvcsCy0/Zo+OUsUJ53Km0yCqr
YMaFl9eOEq3/bGhVq2pWRWZdu5kVELl2UuNb3JGvus7XoL+rygQVZtfR0KJp5yg3oqmlx76r0sD2
VJ3ieRrmFpXeZe1GpzJq7ljbfa8EOvUNecoS15u2WjXxHPfO68nEiMLsorObbBrVoQsrjsbPk9C+
iVPXUY4RFBPi1tSqGPVVg+OHxu/hKWfRs5bIRKG2yS3hOvHUD9qFrYUzHxmeafT1n33iZios20sP
iUe3bh9bVucqbyN4bwWfU17rIBnOHZlrimRkKtOwNzNKZnZCHsrMEwqWKTMr9IXnVIWquPfQORQG
19iTZ2eRxQ1fGVX5qFW5VRDema2NrCy276mT1WZnFDBAhUwWOCatNGKyMq9Un6e3bkMjC/ldN2k5
4N7a9gMNUaXs1BbwftFpFmiZMowGpqgXwNmvCUzLvJEFqEe/R4i0s9p2DFXpufICr1FNlC08r+eg
W32ayuKyjbxcdX2lZEQXjYsu3LK+ixE6LRvZq1AzDOVpna8q1C4DF900Tnmmx+4t7gRStc+tOPdr
JVlDLd5qS6+SWMVd8DV3ma68KBVWKNKwunHdIJ7mTeG4ppbYTNVZiUzNr90FK72pG9ZMxUhqM9R3
teri1FNxESXTtiKnRdBdpVERK4Hb8MpLas/89XDbLfv2lKRdDm/M21nFP//5n9skgv9eTrv964eb
o47/+tdsnWwi1MXwSxsu8vNbf52Yu7H9P4/PHTCK1/OS36Ebf3vxY1wEzPbfc5HXuq09VGTj2/9F
RXRoXg35egLc84VU/EJFoAM92pwiA331kAGt6H9QEQgCQ18YAgWYsEWKAt/4yUT45ugZA37EMRAm
6GH/MSoCTGibihhQHwY9aHTYdYOJvmFKv1KRoup0vQ6kdiH0yDfDZFF7dqPikMcqxmUyDUQ31wpG
Td+NrpAUhll7eaqaLLhvujKxQr9c9DmOrNSvfBMIWaJI09lWlskGjq4uHpuovUv89luKsvOuogtY
FOQyjcJ8wpIGpiIFM5bPIhz5llOG1y3xM1PP6BPHnlkLXpg2RVcG0jrVSFtXuZ/fo1Z8bxlvp36T
3kTE/ypwhCd90Geq0kQ/iYzsgVVpZXk4taJAa6a+k6ZWlmjTOAsqhbV81gRaqJhNa1VU0anbC7Bm
up04qm90X7Psln1Lw1rrrvymlvU0bHETUQUnWCS3VeajtFUYM8cyUqKSpDGmKc59VRddNCGoguWs
o5NajxsVaP6Xyu+AH8WhGSUyNCvkP5dCrG1o/6RsT+qKlhdh/ZUUiVB21xhmY1TAnbrkRrQ4UDgi
3/yw0FRr5GTStRhMa1KfcbsoTjMUP2bE9XMrDt0ETfSuxsDVIkaussAJVOwK3Wq64Ba59SQQYA2L
NkBWi9hDzJK7yBPJZdq3yRLFXmdqwpjEwrikTrqIw+SiwMUsyt1paIjTVrcfhIGArAa0WyTcn1Yx
QwtcBZFy4b4ntGyJafMkVCjsqQn63Eun9E5rTziTFB6fktjWTBvW5EtbottQhvUUVjgPmKM4Y5FX
BqpsMu8uKDQSTvKQcz7BjTzvSXeFij5QiBeZ5YeJnOQpunHq7srO8hhWenqZOcZUa8k8K/iV7ouF
HfazoK7mLuoLqy6d21JGl61Rz0hLOhUgsPERIN+kyvX1asEi/14Xya1I3FnTyLtI6x1l5MW8rZzb
NO6XeePd5FH14JV4jluZA6lwU5NnYBh6j87autGnCPzLaSu6JY8TdAaQw7Jf+WsfaFmdg25a5+gT
Sht9zomt2l7MaK9/I3k0sWNkq7IKz3vHvo70LF10QIiWVGM3XtU8xloxiYrbvMLYNDLjynF9Ky1q
Faf9ac7xHTL8xvITf1Z4+dzr/FIllJ5Dn/RvUeV4M03waVp2QtEstdzU8UyscbDAXbMybJxMUAQU
h/cXDaovXSSBFTZnSaFZCW4taA37SFPELWT7N73jXjaY3Wd5s3R1fBdmCE8Q6aZZHPimF2gXNjJm
fhRfVF4plWvEj7XNoglt7KXhdI2idXgWhvA1bJw1ZVWqJo8W0qmWdRmfwTf7SdtSeioSvVSBbEIy
xRCrN3mvxdG1C7VuRGnc+dP3yCTW/UrlOvrea8U88Oo/C6OZNkY96SSoQOW3UsbnUcU0M+lKi+LK
LEs6z530oRMC6E8ElKphfClJdS1xFlq4bUIzz+mDV+WLpsjNUKttlUh2RX1nAV3crkgMjKfr63O9
blyz1eOZHedyYeTp3A3EzJPBvU+CpYOKryJOkQp9dF26zCJpeO7G2VmAqvsgYje5B1hEaf3EIphq
KD/3anLZhlG1cDpcKd+r5yEBj8Ag1/CSnCZVCDMsLy8LG01r4dbwVtUPEcksoJrhtC4QmPDmTDPw
mUZRqrJGW7COzVHOwN3KFlHfzBvgYEYfLFujnJVhf1XWQak2bgKl+Vmbwisro0xFRfjVRvG3oPEu
WaYvypytC5aeuglfYOre1YV3o8viFopTQqVze1rr7kLU8jFA6QJHVa/6KFnYJF92ZXwa9wRmGG7O
3SQ48/r4WxvSGyN0qCJdpHCSIdPnaMZqbxqn6aUeJWeekN//y01e4iSbPOH73OTnaW+71GQj+As1
gTjEpqXvJgzBN1vzflITCKAY0DgD+AqHibU5FvoHNYG9BJtdBLCzk2AKhQpw6a8oiYTwCezw3ZyH
Binsj3ETCoHybW4CtauQ5YbfhBic4iJAv1+5SezIug5rmVwiFDrz1LFnrqNBbII2Z5WoO7OpSLEE
jpvMKOrpzGirL7HPepPG0WPOSGIVsDiEnatPDJp3ptNwCh6sm5mVy3rlaw2x3FJqSmS8t7Smjb6A
Hbl39T4365xSs0X9mbTpMtfZXCaGbumaO8u69N6WTmL2GdimvCsnIgnqeRWWp07kZypg+mkvvUg5
TJxzwr46elqp0pNXRiMCIPzeVYnyFYQrY1Pqzl0d6UCnPNcxY4ijmEHdn/NY3Ld2UJiY0gcjTO55
W58ZAV42IrzV9Oi8lE1q5o37Nc5tpDQczWO7ORM9u45jf4od7U/itaaTOdMSZcIs8nSZiuQBToG/
oG7kK1cHzwZWMAUvxaoMZaHiFpxCTZQTj/euAk8B3M685aqzs24iZVxN6rrulO1Hl3nTEhU7dJ64
xFNtU100YV0pp2/wTA/Kqc+z6zaofVMPcGxqpP9Cbf5EyvQ2qLppI3GkqBN/AQI37dxo4ZEIXGdR
fOGV+OpmNpAF1j1wr/CU1+ipBSHbwAxjL5lSryusmIhZmfdXeRuLKXbD0xaHa7eH5UuW5Ct3IfqU
h8Q2eWJc+rUgF6Et5q10brIL5kJ0zVeokWe8830T8jtTT9SJYpk38cren5S0rGd5JR9czh1VZTFR
YeLNcAR+YRAlT4HgieWX4NCRDE9DKawOOZOu7MDs1r6KIv8RTMgaGsatmwQ5cydjFw53Fm2dOapD
dTTxu5DdUR04GOokUcL2zCTOTiOdL0Idn+uVO82lE0xx6OXA9YBSEYd3M1mlQA5jvSonTa1deWnz
DOt5k5s68oB159mszxgEncrslGkZMTOWzg2euCohtq9iKaQFR2HNiebEsyRvV4HBbj2UWHURTRC4
kg68uvAeGfcJranpZmV9kzGcTTzDaV95Y2e7wsR9hSdlmEJwTg+vjdqxgMpQRT13ERt8adcFVlGQ
+1bo+DAvRFhNpJ/iKc0SomCnOJpqIQ1N5PXVWUfiK1tzn6jTsKvSjq5lzpBqOc0XaQH34pYNRBr7
alIw4JQO6i+TBGaKD5FTRd30iy30pRshZKXIZ4r78ABj/q0s8WmRXHmMpRDPkl+kjOxFy5OL1g4b
VZfNqUGSZ1aEYCg7fxWxKJ2IoAgsrdUCK+3h/Wh0CCGB/XMst9dmtDP9/htx6HOdL31/USTNxEuy
zsxseA3qyF51fV+DTcvO7T4A751qN23K5jF2NdVl7p3mBOuggilD4gTe7VSfFgZYZS1KlUEJteow
vIVgxnejThqIysF7R0MxY0nsTFgLHo2W9qWqnSxeaqTVz3Ec3WpelF20dafBOy/8iTB622r7WjMr
205MJ0eJcpv6vM4DqQoRQ9jN8G7cHN5mnTl4kYe+O2E2IN7aEVFB118ldsoV7ilWRVT3Ztpp1zTL
KwvBb1Jun9kKAtWNGQcBWH1gtlaSlQzYtWpr5p4GHYxV0ewqYvQsTIobZKNbW/cSC5P61Abfc0Jf
wofFSygRnIH8ITD0opnwIua+WVT+GZAavzfLmkZk6jV2bGW+V/wpDcdly/9yghdOQCCN8D4n+NEt
ZZcSbOR+UALIg1EEeTAw7OwtO/ILJaCGTuGcREbwJgXykxFAzQNiGEMjFwab/KEf9a+MAHYcYThA
FSoWIQLCP8YIMHCLASN42aRI4UAKqLGAPejbjMDPtYCInriXEeqZfe6SUv/WYuTKhZ7HsfMl0Rqw
vlXGv3GXNfnc0MDhV02rNX/mvSjuDJclN4bh6b3p06oBmxKL8r6gFbYrswrFhLs+2ANPu2sJBEJb
B/IRISGBSVoOa0k8qxx8WdX81gm7VeP0K+JCNM5rr3khwY8DPkvCyLskHQT6ccAnbW1blZafutzP
FS80B2ZnXZgO6lZBBjHyrMkbVRGnAKYcM4gkQnwAGmpMw7huIXsipNIrY8GcPFd1Y8/TiF+zWr+O
PI6tgIrnzm4veplDHKLGqyzOblJKvrnSh0iFnTdTYANgmCGQPpOeEZlJnXgmdIu/9rlY1rJ4IFEw
DXgcLqM8OatcCI1kNgFTUQisWO7kkBxIpZn2wXWdpV8z1qfnNAeD2ccMq1zGrcojyJE0rG5UHhae
WdIWXKPYCZdw7uOkF+kD5RCjLTBKrQrl677IO0jItOFEFtU8LPwZMqI5DkorFcKfdpphMla2CkJj
0yopHdP14RlkNoalsZb63Ivh/1jdVio2krvYDZ6FEVxJ5loQVX7CgXvLkxJi56XPlrZuL7x0Yyyz
UNW6cE07SmzlVHzpQMrOTEJ2DXb+luWwekGK55kn8Vnf0eu0kwhiBDK04lgIldaJrxKnPYO0hFmi
plawOM9CT2sVYRWsWRhcsiy+83kRWpw33hS33oSn5Q2kVcCENTZEGZCcskzUFxUwRyW6QpYqZ4sy
4NGdjPTWyoPqqq9rrnTqXsQ95BgyDVHL76qveec/2hBgmAO5qWAFR1ORy3vIVT4I2zFJjldh5AAR
26iB6mutk9PM7i/DwJsUHpka9hd4WZMLVlfL0Ai+9B3/5nEjmsZBj6d562WKGUG5QGl3VnJ47bDu
LxMgzzKCOJ+ryXtNgCkr9QYCB35rm1ruTYMmuNDT6JIa+Rn0X/tSFzJTZZ3XyhFsqtHsG9M0y9XJ
16gMISCViNO05ped11AV8wq8VXvq1FliRXZxK33xyLX2POfVmtjRbVGKBTQqWPp1gBfIFdwsQ6Mw
9QRwAAL6HELm6ZL0jlCyDSsrjfkl3DyH6JH7kOW6rzCKLomNv2Q6m2ZG8Khptgn8HSnhBqGKaPSl
rBK5jKl7JqIyvne5kUO2M4TwAorDMy2sUlN3u0zZ4DVBOi1aNbYdTMouvMKF/RBqSWdSSnIIcbC5
IftlGJfnFQaaWrE/Gx6tSopPex1+aUOu/NSzQkgAuim48CE4vJTNaRoGU88Ozys4olTFTMbTLogt
RgJdwUKrOt09hYwHPfNwHl9ByM4uTtsat7BAxLWKCO0tw8jKOfblPdS5AT1KIuyqzPOLaRaichYV
oL0TJ4mVtox8aTt2qiEPX7gwsUzAXL+MRdQrvc4BnFK0930WO9c5xuGZz3wdggRVOmlCLZxjAZHX
NIWT2pRT2A5kLXjpzkuNakCCXfjVXYrwVPPtQP3XTL+YaQyW830zvTlLYddEb2R+mGjowgG79DG4
69CtViD6q9dOTyCLQGAPCOwNfHXof3jtUGcsoSwCTDtcRJzAgD+8dihzgh7WCNowwQ5hJHXjQxmF
Xa9dcEgXUwo1DlBrY2w6ef3qtQOphdPfsli/DOrQOdOcKLNv2jaIM4h7esGsYYyqTjDHzKRuOV4Y
LliuN6Zeafo8gCV6EXUkOm8aZAQQZgUfra2AaTMBE5tGUNcASVDV+JB3C5z4VDN8/Vz0NtRChGjK
I0dXThlAHYFc635dqLprHMu2WR+Z3HXO4rY58+NwqsnaVR7xq+uyLhakbvm3sDViVfiuMWmwPwtR
Mu9pOmuIc51BFtpCvOsh++jXZhzl87KHeoTCWAu7uvKovIRYwIJIceP9L3vn1h0prmXrX0QPhLjp
sSGICIcd4Wva6XxhONO2JMRFIIGAX9+TrF29s6rOqe79cB56nH7Zo3aVwya4SGvN+c0FPDivM189
nurrtuyue8GuYObJK8Lc1xobWuoJWBbRFy5T9DEpE1moqH4khr8ip39FU11UfvlKGSa0CdTjy4Ti
W9nJHYyQOOYQOi6lE6RKnWRJx657CklQDcG1MvWlrwFOJBU/9034Ngh7a9f20+JEZ8xCseicQ0ev
T02iEpgR9hixFI3omuH9MUnGVvQcarNTNCU7miyntfS+poO4X1xY5sJWVyNv0TglZi3YguZyqwA0
KeO8ct0xcP2rWvhBdV6XR3RY93yB08u1+IGmYsgXTaJdS5ZD7MlTDXbh0KTBpdVhsHO2Fjs5DM+6
FGFBh88xXvxjrGJWlBwFHI/iXZqQT29GjYHk221fjz2Ud9nCIuqf0iH1bjxWH1U03NfcHNm2E4VT
l1dWJ3nEW5XNPl++Le16Snn4nkSGFtVUsZx062s46FPEw2+Qe+771HuaBvLqdAkT24rPpAmXfecU
K7SpLg3cMGVmhs2bmLwa3cecsg6dc4RSRfN9FYw/FoGajkZ0n0zqx4JZO11WDXrYBzI234HLBDdz
FAnsQ+PMDxaBrnrnoiU84PvHx2YhcwuSQI4w2sCSJJlNEw+FGFaDHZzElhV9iQ+r7YyvrVSZLO1O
AeTaM6zwUGgUikyY+uK4TP7tiofhfsEGe1Be6u51aCIoNsGJ0ormIaxt2uMzK8qk24pDmk1mv4OT
s5Vz8OBUpsjiFyGV81WTeFEW9Z08pem8HpIpckUnpc0W4XjmT9Pe2eZH6vPbfkKJg0XqTFEVZXhx
7/1iEr4zdXXpYzjTAXlxabQ8DsRTry1BrRr0jbmjsBtIOegitbghh5iqok05KAlrs7nVUBkIntkN
yT00AfN2SeuvGXHjdGnCsJh5xzJsVWcVwOhiaHXHfhDZWMd+FkjzfRi9A6Ew6yboC6hAaBZG6cnD
tIQT4XW663RFsiBth29B0odZ1KauGDmKilD2drPR6p1EPbT3dN3kq139Hz0JvlZNU+6Zwc+ijk8P
7TpjVVJ1dOga22XGq/zDpPouI8F2fcu4ydC1QNkXh9q5i8QTlTswQxUb7oXDt/a9COpdd00WepBN
aYuO1Sar1gFCPUvzeeOHaAq0ya51rg14qkos+6Zt7kUkw91QwZ7t0ugangrsDe0fZKRe/Wk4jJ55
XNU0ZXU9wE1wQ9ESdTbjwPfL2IhcJuDMtD7Go/nktBS7CJvHTnsogQlKpuCczs1TY6r6honprsUZ
zbpQsqLp4IDx3j9GQGWWuN27UF+PZfoxdwGBdtacrHJzwcl8SOLw8f/HCuHXzT7CmJa/Kw5+RUl/
w1B/8oQ/P/V7eUDwMpJtjj32+CCKtt38n6I+soU+YkSYwZlu+jwqh3+UByEyZQQvbE3RxzPo+tsb
/n4vD7Ypu/iFgBJTvMoGb4n7V8oDsmn2f0AfGaaH4Y1VMShLihQz6pBfqwO7UiBa4zhfWkdZgaZW
aNiVVaJyEHbTfexFy6map1YVvq/sq+3C6YsKzdxnhrX9yy9nD7bXRmb+SmJu70D789HgtSwAMGBa
hFuw/o9HE7aLVkxgDQn6lly4WtsyG5MuRhM7WawokwvH12TSnkSnm9o+76tB8axcTRLmeD99+86s
9W/xO8S4C+qafFkjLyWHJY7KD7J4ZN7//REHYEL+csQxEAkWMBR/mJz7pyOWicC1XeyFzhGH/jqv
9ZcJ75Gie5ssXYSCZybVTiZlmoG0WGS2KB8r5jQsZIfW3b6L2RiSS08D77LAgTLbgKDMkiFSvOBd
Je7UyE6NYcLsMFWdPRsB77J20VxIA2hMDmJqDn//rf56GRI4UHjTaBLj3qA/v/SvPOzicYeV1Vxa
W7LnjqOSRVkU4NbQ7TjfuXlgj7ok9de//7PbvfbrvYiKN4GSRVmAexH/sx3WL3828mceasPbS5ui
noN6MF5aOL8yLcXz3/+lPztZ21/Czo5Xa+KlyCiJ/3Sf6TZcVuxH3SXVfvjWu26oD6VNF6ivWhQ+
4Em4VnAEULHQyDX/1U2z3RR//KK4UfBqT/SWMd69/Oc/D/ca/lLbyEvSq+itqcboTdXbMURrY4p4
6Dq4E7j0B1f3Lsh61SUfW8995dgS3myavJ9TV3Uqr5K2+UIHDeFapMvyob1J73xvbVBmsS4cjhGN
1/G3VhDgF2jxu//DY/rXC4Uh/Vg24CoGIZ5VrGm/Xig/HqM2ikrvTMayeZODNTxD9WAhmdFlafnJ
Cam+85TpG0jmYh934SzzgEzJp03WtcsXwZM87KrpQw6QzaZIi+T095cY9cGfzzINIdhjzhrD2oqn
E07rr0cZD6n0UXPTcxX2ukRlDTZ1Pcx2pmxvp3FE493791OzRGMmBOyUgbQHEwz6UIc6yFXdNw+6
jpo5S2rHX1yFXmgxKH80kJAvsVHproRTkI9dVcEcs7QCP1WZ9uK0Z257b6UF54TByFnLtskDcKHH
KAZTFVT8ji8tnTequL/Ysn+yQeOBOZwCnEiJInU3QMpCAeLS6qYWUfpa+mMI2TIlNyufJzBJvgih
INaLvPLSAQ6+W9J1R1zkgY+df2jT28fRh1QESNIm+xLM61VYBsFTL4hThzLxiMxWocrvaF1Rncu2
976NTQJwTJvgSnUtGIKe1e9y0jGee9qoR8nKOQHrGPLTUA5jvuA8HAis4tseVFkBgbffEwLtp6ij
hPB8cjzt8wmaLHgZOuxGzW5F6XF/RwiaHWw1ATwMv4o336T+Oje+uA4Gph8jaqPDyCov2Ju4Wd/S
uBsK48/Vugcbx4EWzf5bYGr3aQCSRfkaWGCkwJgnvp9t1eHhcK5Y+DSm+6FD+VRbCk8WPwq4KRw6
nOhmAshsqsrLk409B+Myr1lo6zKnFnjLYYhVwcNx8e8dJSHIucGvswp3kt1T65g5zDQBYK/WtS7v
R9fbpskWCUR/eBelCIL11ThvThrgzQOW8u4HKIvK0iEb7Thq/2KVbdR8YrJfDxO0pfKqGaSEnxbU
3aOfePSqWiiFCI5rUMK48tmMy9Wk6a4tS+yHtlauL2LluA+D1ZLyVvSINnRHtSRO7Ja5ZvYmNpbi
jnJlR4zLR+yF+9gTVXk74dGJt45fo6QnVBnIj3A4WVb32LxK6OQyzr0S8Z0IDarfhnlnyqbJBRtd
uXd1UjeFAfit9lHLmzVP1wgrZhsoENmNGIDyAUHj5s5Ir2mKDs31pzdOiYTN2gX2IMN0TC+RV/Ly
1NLEQkuA2276dTkavP9lEIXmIoGAb6a13wP8At++1HGzHH1jGoiBwVLLPJmjpT4MspceRPowePF0
s6JRBnwOSFk1vncL5scDwmzb9gW9AWuu6MBsXShh4wfw6ZTuKw+V8bVwAsYc9MhA2EM5TLp9xGZM
TxVfA7UfNY6g6KCcrkVK5pXlabVod27SBbe2h0dl2JWEjKeBRugeeUn5iH5owuWUiUF90q4VXT9q
RRn6ZhxAs6NLI3oEB2R45DJRcR4o1dOd7GS5W8cSuqPnBs3uqtJVYU5lX61glKrVu/bLOtwTXUJZ
SQRLdEEWsXZXQhIHtYCFwmXbz2WESdbi9uG0z2cnvTWzs/S+AYBHxiSTeI6CC0HHusosnUKPPi21
C8ZLrNnS7VqomTC/W2xJ3CQKH2ANZI59KQVpX1dSt+LUL009742LVnlNLLdPYRVEbxE8zBJoIW5e
EIlzQgsTrxIHP5Kq2dW0B0aRurKQRPav6LpQWVS8mh4NtPnvehD0OCWOl0WqIh9YA3APuo9qAKv7
dpjIZZ01De+NjcgTsR5+wsWeSaH5L8lcTEFTySPYvsBdtQk3wa0EQgn+u99uzqrqzSGpjTCb/mrT
3O8dro1wLQ6sM1h0r7GDsWcIabi7G6ySwxZ/mLsra1gZ3FXDqNQDelIWXs0hwitnO9ut+BTLfBcp
L56LzjX40123OdAzOIr14Ktk+/LboTusTzgu3ZBLGLX4FmMf4VQJ1ak1Zwrxg1zXXMn7dkjwyA8j
qgKO/4Y1NbCtuO0JEkptRrXwcbndMI/nxhPaZNIf+3k/+9AmC8hTwbZo4GHK8Y2wgMyMbHWybZvn
MqDslE5SplkqIoX7YuHxm2spDmMequUBzKhvrjnK3Oq606AIH1PsFgfT+uTSM96/Ap6OYUCHQgan
LuVsvC5Fx6fdMiS9Q4GLPlkHOK25n/TLD1Wr6G4eDbS73l8mEMoQBM2xKb3mc1nZtobIHkoT+oCU
FjJYhNnruGEvnl82e3hdvM+SEMvcArbmQXbWXLNGVeB+giHgWPYiqG+TCNjzUHkTL+qgxWOyeiWF
R9d2pP9osCAvp5TglirctmIXVeThjM7TOqFrj1x/TYYxiPOS1XbCTksnuBJDX30b2MSevAVlOvJJ
diDv1rSw1hrYrtOVdAF+1QyNf81DtxElGpcF3pJi8X7tpsme5yWpH6F4goNJzDFs5ik6ri7GxVE+
MesBjkPXndt4Dm8864ddIfq2ma6BZWoBDsk04gmViHn3WYtlBEsnAFMljDMZAwDdYxdY+sea90R+
hWZG0ylbUYEtX7SlHsMvM+VQiMRT/OSV2n0X3PemvE5MrK4ksOH72XjlCramN2Bt1hE3qQxsRe9m
Va/RpYl1XWe9nvz4HBIRzvmC6sYUTkBvKVzaSsST1qTB2mFMXZCZzgPIiSAdDmva4+5X4cxB45QL
QjOlNnH/Ak2NPFViwL2GnY49416HytQyCBr7MdCs2qeNiF02j69BOgJLgnIzJV+ioO0dBDluw3NY
1un00JeGgcVBnKcptKS4mmgclvlGUqu6m2TQgt4Fs1/HV+XcMXyvefb4WQ2edrsG0GaQoRob7bmu
Sxz/wBTfG5EqsXOz718tfYjnfoFCL4Gji+T8syr9R4DzH7Xzb+HDX0MUv2Yq/jvhjLP8MXSm+7R/
Tmf84Rf9z4twROiE/u9ey2/jw38VYOBYIIS6fep3OQVRb8gUAcLDG+v4Uxj5TyACbguG7aEjSaG8
gm/4p5yCF1tEmNGDpCQaF0AT6Pd+l1PYvyGOGm6dM2QHlD3pvyKnRH9VMNDRRWT7W2AscJdsxMQv
PWxbY0RBjcO4nZhQZldR5CkiH2G61juNNS+IBRAZeRu7N41Xs1tI1jUByPqJnWyEQkBTSva8Wp5S
r+sPY9XUCH7IOuti0Gqj/sGDGY7kase5PCDdMXo76o3PJgVsiArTHeIhLm9EuMRX1Zzs4j6guU6m
4YxuFG41DwSYePLdlubTL0d71K5FKrNCuCPujCrkPD5A8r5PEIa67xELyblyULrrFnh3CsG0Zi0U
xpHpbGGaZQ2OKp0VAh2jB/szKYsKIYYsHeU7QRwTObsJ6TjbVtMxhl2Zcb0CrafYNlXZktsyAN4x
j1B5LPD0Y4J4IgyM+X6VNZJfiQ+/hcFZWqG2ZgPFsseoO9dJeVt14jS3wdEOAKJsG4CapP11zOHt
d3aC7FJWD11kchV315Pnh5uADSa+6ZfDKtD5DONQpGMv8kHEZYGo1he9mkeU6kdsr6BX+vVucGrZ
oQN+oX3yoxu6S0+iJBuIOJE0uots+cSnzfpCEm9CpnXQ4ZU/sjMwKrMLoMwgLBkmWOe7r5WrT8iF
vs6VRYSQeZ8zT0U+WraX9fQtatmHbhNUg9hW86oFqg8Iq8ummkJdFlzcSIkORWGl/gZm7S5dqmfl
J+j4GugEdQshyEuZg/bbYvMz5iWeAGrFc94BuS0Ul2O2cClQXPTPHUXot/FruA5pDA/An586XPq6
DoAZysm3RbsizxLDUs/R/dxpA9jdT1xVDOv4I9T26wTGo+FtuC8pedelqvZiFlt4GMsq5Ps9b5Np
H8+0BI9rUJDidj2Mvi8zH4ECxPZIH+10SK+8kbEDT5FxommHB6FLPxfk70JlvlPt0DWhKytIBRJw
jM2na3WMo12aHM++zlGa1Hu5JkhBl7AZBsbyXuIZwYKPzqMTK8rxPqfo+tAWTwf4BgzyyHxLp/IY
RO2dmNvbWKVXniex91whGlm6M8PvNKF91L2zebwkd6qJXxLW3MIqrTNHq2VXVvNBIfXh9/LDtPZr
Ugt/1812yLpKs8IkbMg7Zllmq3bfKX0OgvFgvOaL4eOV6vmNbTTwmsDkKHbugno6hqNTWeJgdQ7z
fNvUAQwxv34VRl6iWAMI9l1yVfXJTcCai7SQJjxqsekuQd4phVx0jLQrFyTNPU7k1VjJm2CUN6TR
rzWBSJs6M2YxKb/Ar30ZB3MLxCg8oOZku7kiMbCKMNoNrV0yKDIq80Z74GHTok1e59xbmgcXly/I
S7coBkYEOyXF0oPPcdT+cHZrxMzUVbkOHz0q2iJYN46TBUefd2sullghzanqfLLiBWDqvXUUOKUc
l2KqTLhTExw21fufeGHkdSjljYQKA+MYwa667Xd+I1/XmD6VJa77UHZIcdnag9VGHqKUvRKwJxmn
7X3gzQ6wZPoZs/FgV/ARPfqGIjDT/SBGpEKCp0mYsz8hNp/o9ATFFChJ0tzXfbubE+mdhKu/yMi2
O9/Op3hJiwmIDvqlIMqrvq7zuHWqqMO5262+OK+t8zJk0+adN9SffC2feg2vbiEBkshS6MMsqvdB
R7e8I4gcp27dAcUL8hY+wLXj3nq0qd4nLkG4rV/v0Sm5wpsQllaMP85UFmPgHVmprxlrpn2ohxNs
BYwjIGDS+75ZDtTFY17HXbQvm+VrM/h7y/233szyMAdiRH81XeKx+RJE082KDFUGg6gIp3A/VLxA
HP9a6uFYmdIeV9xEsLxiuXFMhyUhP1aizxHHmj1vYXaAqT0ZPmwl0ez0b+vMi0Ti6TTLmIeUvMJx
3pUqhZ2Llq5U/jGxWE253YcTbgIYgli5dZZIOHqRQuAOVfGTHuV5DaMPZbFQShp3xVQn6PuXObOr
PBPqhmw27HZgKz8EoXuucd9maR3CSXeDgJ6EhAAcuiGCfxYna3fwF/6GvXOAASrGzBMLQlRQAW7T
1EsRt4qCw2CGr1KRx6gd67xb2ReS2NdKCbRZWBcyY3FrINlLsIKQ/Rqk32mZzoeBDXsc3/ehgmfY
pt27Kdc6YxWZdq2g6wUNUrQrdX+HPe/sQvw3FO/XlkEGBXuVU+11yHmP72WsNFbR/p1ilkRVgZ0q
vVIBri3PRMdjFvJF7FnHph2fbQgNEdl9PGV9DlT3IhIfT5mWbeaBue9GfoTsJooE66SHELXz2sel
W8VBetU3legfkUtyhAqaAxCpA+oIXINyeiSRJnk/9clp9ZIrbbeQebuB/CiNcsT7keryiLnFvIcd
X5pP5asuR4b9dk7KGsYpv/GpbHJm9WfqgUpAVPLVbUMfvL4B4dHGb0pEUaa59xXieXkPFvGM1Rx9
8zmcxEHIMPJAY4EL9a1i/aWr607E2SB9zpGw6qe1QDKmF/+LFm8VMYiKv7Ul/71GsPv97c+F9G8f
+6WQDrdXwaWQxtLfIs3/WUiDaAJxHOIhCcAzbWzS79jST7QYaeckDLc80a/YEkayAANGfR1jFHrI
guBfKaTRNv9JvY9AIuCFsujNId35bCvZfy2k05n3bEzFeFth2zulNQvPQztfp22NPPI4PMfYtfvK
qmPbJfX6ITrTe/cjZpIs/SpzyHT1PRPYQS3y9paHp24L4PeAYrFVIJSfKOIdUH6FWajFnitE9yHi
InmhARCjhEOyn019u29+5v0Xrl8Z1hXkHRPoblDSqlwHJjxNs7eeIt3OosyXdJGo8dVuCUoPSN7w
yVm7wtrzy8NCOpgMRLGrGhjDs0ba/BoAijqntIWGLh/1iBBFkTaLj+hyikkeg+fvMCKk3XV0pbu6
lkgs/JwKgr1SJYMtek7yyAZ2H836gg1iAkvRsf1Ur0CVSwtpTrTuiCEFF2IMy23bvw6O3yzEFcJf
UKIGZz/k127dAN0KmSiMOemzKk2R4zJj0eIKZ7z0kBsZLP8sXRd/W9ZqKvc91p8M3gJkX2HIkQ3j
g1D0Ma38drzSsfDsvSTAy+AO5G0v4mMfLaZ9jK0PrFOMZTJlNCnDAyUOIZ2ojD5VOboruXTjYUSk
Ybc27d1SmUuMsCNyy5feD65Ti+E4xp28Jt51K1p2sCw+EgqR1O+uDR6kZa//T1r1/3lNuP+3Tfi/
19hLPv68dkRAB//ZhCOVgFAp3ZptRAuxRvzCNOAN7QlAhyj6jVzAQvX72pH+G4NGjPdD0wjt8R+C
ipj0FGCME16UgncLY2X515iGvzh/eNldAPeawg7DcWJO1B/XDj6gY0HouL71SP/KpYU0OdbfyRJd
1ciOZRXi1mYYC4xYACmV7FfKb9jSX1zaQM51GCrSyL7JRu7lQzIGezTwe7+jjw7J4CJNujGf+HLj
23IXex00fmKfZRrovCY1gtg96l1vONbKvDXxjNgaCd9LEDq59hrkDaL5ek6nd4URU3mq8CBiFS7i
BT0rAQ5X+CMgn2FD0KGC2TwZGSqtxQdz3bXLvu3QNmBCxC7g9fU4R6g6uf1K4WnuIE++d358gt2N
0QogtDI+GZU1qEwjAQsYgwTuVkZephJZ+ioFqSaE51D1WPzfuJL5yoFjNQ0vkYLDeCS7XxLg+T3a
zixw8/Mq+Blzkq41ClOB75R1CzrzJggenFS7CYm1QrXBuSTBU7nUFuvQ2CBjRgE0GIyj0gDeMqCm
x4YuEoWNfkmjwctj1G4jz6Opl/zRBpX+BlX+eVlDd20xz0VTaw7gy2G99cO3mUN6bdWh0Q4g2BgB
a3NYk0eK5lOU6Vnw4Jn2hmajdLdeHMaFUuO6C6KVFyuD6s0HtvGg4wP1xHtUlx3GTvAcMxPUdRe/
2fkN5gcK7vjNLLQ7jIN/qEc0sYNGq/3MiGgfa7/W6kPy9d3N4mGl6JiTn1lAhUIyfRswC6vE/Y0y
p/WPsw2622Ao2W0Irv60sBKwJFZWhzk8FjGCzBe+zEXIlgutVgiOsmvcAd7pi2vdLpGNONO5+4Ce
imK646yHipGK9X/B7n/IhliW/kZs/Mek1b+udBE+93uVhJUO413wQlyAMFhV/rTSYYwMwUjKIMSw
mI27/udKh1cmb8A1dmT8yB+rpBj/AtgWgtwb2fUvwd1x9EcSI8WyjDnVMWYUbzNu6QaD/aFKIlM0
NF7XNLcrIgoUwiAoW4g7CC+sbdVhIgDyDBWCDeGWcMBQnKM/koNE9EGMHmaKVDvmgvuWIKqIiIQz
+k0hMlGaOgfCep5XcsMRqVhFDI5yS1mIhL8axC6mLX+BCuwNaHuchz+zGVtKY8Wjet1syY0aZgWm
MCHN0SHWMY4/8x3NXbolPtDq+DCLsLoyhaRJtKcIh4gZo0+2tAisgK9uy490CJKkEWZ1BaOC/rWl
TMa4QywIuZMIohNmeyGLAieTXEVLemMRU6GIq9Bl/ljC9WxC9r1GnAUKEELCNT90CLrE0YosFqIv
ESIw9ZaFYSL6QhGOWTv7zYl4bzZWGSxsnzmW3oUI1NQNhtwhYFO5aq89AuBjy95UCbQIMngvbMvl
dCuwGwR1xIDqa0V0B0KbvWqjGmMctlwPIi0NUhnsG5CAuwjRn3BMu4vu77Gv7BtEg9B732J73I90
hgAL+3BjSijCRJQAB629r1NYvkBA2MfjOGZsQv6I1s13iUCS3pJJzZZRInN1WbbUEqbq3PtziV1h
SzT14VX8M+Jkt7QT5MzpAo9vX25JKCSdXb6M06NYqgL/LPfAouudRYBqxGGUPaa+qS1bFbruEEkf
5yYleecv1/2WwwJAAY5iy2Z1W0oL89EeZNpdO1e+hz1yyXILdHXxgwfBPvdsfMO2zNe4pb/ElgOD
FvPgIRgGXjW8ibas2NxXT2nZAl2WMLma+waCY9UOz5wB8UBDguQZvtQR+JnD2C9gdRBieA59ZU+3
pBpIO0xNkmqv5bhbEWaLVnXww+moAloXoNcWCEPjRxohyh7GyML5CMV1CMcxorfdG2d7axJyCFgY
uzQTk1EzoKBOEcFbZ+w24Mn0eV2GLz1ieKUe0zz0ESbspEdgNYHPaEZo5TUCfH4311DiYG8h2icR
8cProR7aLfOXbOk/jyAH2GyJwHbLBjIAQSAvg28ascEU8UGAZ3y3ROvFH8v3cvJANiBqyHT6AAbj
6Ch0eFKWV8m2sUa46TM0e/t5SyyCYwqzgCuT6S3PiK1zQnJ7eeN0RWxrSz3WOKMZOpSTnbydj2Ak
/HMkJLesJFLhBwyoa4pFPSBTRLZA5YRkJczFN7slLefpSdVkN87pHeZbQj7aQplui2dS5DQX6AOZ
RXJTrHYvlik+SQlrWBMb4bJj3l7rLW+4rssJ7HvRaR1mIBHoLvDCj2A259r3zjN2zwIjAtsCWYi3
bpXHRdsohwOy4HLBDl0ccoDLgJYKZvNjk7gu740lhzLgLEdZiOOZ6nbnRtyB+PefQT2jL8SGD19y
cydq76Ef/Q/T4JYI40aeuiT5oof+Ymq0UZgB9qG1f5tgUJWp5jjD/KNw27WDfUygd/vrcFMS/zAj
KLZrcMav+xZfGjLxBFG/fQ2bGkKNhzUY3AtiA9MQIs3GjyVGZB07srz1sewODEtjqOS+x4y8XIjw
jD4MgTTaZBtnulsk6s2qcRhb0d31xj9UQ/ikV6yVHXkkHDMFOgRNM79L3jjXJ7RdJ9A3cuekj9Ci
P37BTCGSl9BWihrJCuQHcFMrU75O8fo62P5BmBADEWrvCNJ+3IZxKuBP46PGPAikH3F9qYfMIR1c
7pKyzXgzfK+GGksFhjoKcFzDeuC9aJC5NE+YY/isAvsy9BjhWKvxJWSrD53bkZ3vB+J6NdW0k2AO
AP7BUOh4j4GahF4NpnpsY3pYNcaalgoxDzX7GasrIB+sylOmAvAOMRCq4HmK751BAuark9ehoPct
ZnukUfxcQV6XtMGlae0Bo54uge5Qa9fEHEGWfRAs9PCn2R2IJjzaoVcegTTXWQIqpagTmCOYTbDr
mLsxun6YoF0nc43lVy7FupAtMnotOohomIX4kmyTJvzennp7mWIIxBHmgvGE34ULRaiwY/IQ9AMG
bQzyhSzrAXB/ddN6WP5XbzizJfEQ1h8VALK5gl1PaWZ0iqtVwlLX/ITwj5ebnxUe+VntYTxbcITq
/IHxJeLsWgutgmPFTl6qrVAcrETNaPt1uZCfhaTBdU6WNT7yFINDZJl3WL9OpV3ZLaEDxras0J5L
Y8MrzC261D8r1jFcYIltgy2ETvsCm0e1ZxhU0mD6RaCjK6xGpxhTMRSy5gjgeBjMMoT0WSYaK8Q2
RiM03lH8B3vntRvJkWbhV5kXSCHSZ15uVZavomfT3CSa3ez0NtI//X5BTWu6R9IMBOzNAoKuBKlY
ZJkw5z/nO3A1LEtG+zIW7+Ys3sM5emPLSUmjTPtZaEEBm8PIBH86v6M09SrIpvzLlGQlM8l4Z4jU
WHX4pjDxOc/xVAwoJl26GVE6G13CsDOWrTNoCDuuc4p4seu3Thx1K7zL4IlooGOgebrXZk0gNukL
HfemeOTlZxeHR1JP6RFrpbutm+m2lc4uxbYQ2KZbbstJZOu5JQ+dcDFe6c34XHZTu57ye9uaAye3
H8HX3cxITStnyQ4jmJQ2yW8GxU2RIHL1roZTZn1hcb3p/LFc5zEfgQToCli7LQucTsSOoLCvY6dW
hBZ30fel0xkIycU1Qjb8szAGDOpn86adOj4PY5QHseK+tA6kMUWCqR0IHEllfF6kUa6wTe3cJGVx
BiDDNeuZ8Nl5cnN3XRXaRgc1Y4/eC1vLdhiNu7YZTnxz99AABDSqWE0663Wa5BeCdQ8eGBsiS6cQ
rA0a8fOoODc2wBtpTJdKEXDGxNeA80Ca88HjIFCVAMvyw5IcW6u9TFG0rUeDMR1EnVihdRzNeezr
4bJM8QqM3VsOgKfJdGRkcz4Pk9fvcdUwaJycS6F75dopWAgB+Qg7cQIiwvusMs4jqJ9eMX8iRf9x
FucpHYsCco1YwBLCCMIeZwSD4gbBHa7XI3LFyi7KmRiOa228pd1Lxp9BK9I3d+QM4wEjcmsJlQjX
/S7ypTwXDRCiBnhRrkLtFTijLA+1nV+MKWfOsOPLZefM1R+cTjs6iVvsnLg6EOtiLpvXJrbVZfAZ
nfwtO324OAR3kz+/jv1P8flr1f7+MqYe9f0yBkUcbckyfuBa/CZZ65QwcUv7uKP9pFh7v7h0tIEQ
V1UuvxpGvls/vF/oU2ewRdgE5paikn9nmP5k5PljUzyy1+8Ua+yAgggDCCTXw6Hy812sqjlq2nMo
r0VuPmSVvDekfSoseZtNnENGRWYhrz0WurWHgQvXWtFbwoHzdzf1IRsLBHF3HnuO0tqdAPDMksyp
c7RYE+Sig6lqiGH4/KySoR7beq0f/Kg1VnWc37eKK7OUlQfKbbpoDcwZFgC+GIpDo0GLDFzFpsnV
9KztxuZKAK5xUbMv7rCU59QwwBQ6Bin1EMXDUMgbCYPaUxQcJ2ZctLTlQ1yq/V2hckQrDw3snNDr
oo3McHG6VvGO1/8TPmltlRv2voK8oykET9jIy6IskYvNruCDnW7sfl63kHvK9pDqZ13RfOLPrbnu
/GhfVWEUjENP7kHhf1zI5tA0pywwWLc2NZSgcUF1Y+r+tYcfxPo7rnzBH9QO4UHCGJo1zrIcHrXl
3IMfmizv1QZHVCkukT/bIvBBFUHTuEkK2EXW4HF9m/TrzGkV16jf6J7gLTFdueqiSB5cxUHC/Xxn
RKN164NImozyVpYe5kdFT0r0WN8aiqgk3QG2koOyWIdVt8kVeSnMRtAcwjsbQJnmPiHL2MZB6pUw
udgfhSI4NSZxDWb6M3oZPnqHUeEmarrhPuqEuYbO+BRpinmR1LtGpBCE3QcOWJ91RY8qZjCdqFCw
h/2gMuJsVeOfXtUApwBIGmsHBJWp87csQKl8E79FFuqluKmtrryHLs8TM12t4bgvVvslqcaK+LV2
wwf8s18lFXxXUt1xpj+zjVxa/N+B5lkEmkbzHdTY++DO81Z2E2N/6YWcnew3UsQCBqsRc28EA56M
/b0NUeVUeOI4pOlLvfinpYEobkP3rEbt3MxzvZKCZHkXhfqqygDetlJedenC12d4iKPwrYldb1+a
mOA5792Hi8lF0eifGtPFVwGs3LOrIwMEbFKzU2w9WR6cyH5sYxEfgVk6mAaWe37meG4Ge8ATW1Wb
LnLa9Yf/GX46hC+QLVtzgi8lnNAh+mo9ySqFPLdw35ayLI/S6Kf1pHH1iOcExrbMkSAmWT1HIlRH
n7i9SR3bxyrSBFM561uvhyZiLNBMOlxXA4lWaVQJb1BdbsI8BaUFxZpve2ccZKLgYKkTB63RH8Ti
iUPjQXPUw3yHfcNaNY45k+LlW+phm5Rpt6yqptxbXbNPNQfcKFSqNCXAWudcRBfb6tbYoyFUWLEb
+JEMOgszAqboQLPsm5SocSWHRwSDk932x8qcr3yrvR9cyHGLLHYxA+pVWYTLqsz0KwAvj0kFnw54
301h9bdZNH7ysukii+VZhrhwM+J5q6JKPxFhOVqT2M9SPnSeOnH0peCaUpmc64Fuy2bjirbaFrMn
V0Y7XcLWvM3KOd9Mo75xjfpo9H25mmX/zbLD1wS+DzmhK2JNN03qIpkP8i0M7WnVZ8tzHiP2Wo0H
oj4tXmXhYkICjLbqjPqhiq3TpNXKXcCnhhzbnH0y+xRmzQcz31cUrLgigaG4WH9v4b9u4ciPf76F
Q8brPqqdZPf5DzZyHvvbRq6TYaUxE5qlrpvMeH+YHxm/MFq2v2/Jzk/zI12YBjlLhjsCPgaC6/ed
nPJ1THc2A+Nfd/m/pKoSxfvdTq4ygT4/Ewge83F+vx9nz37hLn7JQnGdDwnppXXbVOIIctqCokrY
C1Bq8TinEZsekHgPcn2Q2vCLRywPcamJFVeXhwm0fOZN9wOo+Tlk06vRAFcYmzFkJAvBn+7TWMxX
LqB6Dr5A5sJq1aiRx4QFqe6d9aTg9guUvEKCdFLc+9D1MaWAwjchOa/HjxFoAicfF7SxaTMky8Wz
tn2aokkprr4v45dZkfZlbs0bv5uh77f1g4WEyPgEMj8RU1wqi1jPI3fLCP2iBeOf+3rQGXD9WTAD
OxnfHKTFNIT8jx32C99CQOCUAjiEDPDfwMiYPBIH6CpEaZ6dyNp5br0osPQ2Vh0DJg0dhmodwHm0
lxNj+9kacAIO1KBU4VtBVYFQnQWwKl8S1WJQWNkuo9bAU/0G+oS/sh20auVF9ddIYFebqEOoK4Uf
iWlIwMT67oTGcgVY/3NS2+GptxOyfLZBsD5yNnSe6HeGdNvAIgm2TmxWqwpkBGDp7KTbzQDUDrro
qq/abksicb1YLm6p0K22+WyKdU4wbOPFsPUif2HYZJTyMgtvCjJCvFuPTTkIc21edxww2bayeINP
B3+6SMJNKWRyguuY7zBodvf4sZZPHMjioBJKiwI/dGG7YgA5ZtlL1bJ0Jq7rPEOBLO5kqzc3MYiW
g6e307nxQ9iEc14dSWBwndQsKz2H+CJVAGk69+2C6L4UInybvETzcMxrzaE0xC1WP30Tx2P9KGZe
+F1I7PoVJTr6ZnnwIAs15h+7ud9kTP5nOMZAV7jFDcoWIFuiPfgEIEDwqo+bBv+AxEdACstfa01/
1SqLQajMBq4AVdUrA4KrrAgWngRLmROaAq7wh10B3wLJNYy/yspQKlODo+wNi4XYVCnLg6vMD9WH
D8JI7t1fjRFYJCpllsiUbcIn/3YAaY6VQpkq6HphkIvPYlKGC+JRwaQsGH8v5r8u5qx6f76YE4rr
/sgFwIN+WMUFbh+y7GpZNmAJ/otsAL9A3YJ8/jEJkP9rNkbvJjcxVlVFEuYroRb476u4T2X2h+3H
RnoBUmj9pfvYx+zrx5S1rdLkDoZgxUC28OX/vIoP9SRJJ8bmtZwswUltOIyz1dAahPDWOs0WsR1T
ezc/uQYfRhlZX7CYnzsOCoGtAkjA1SzYtjj6gMfS51FeAIi0Kw+1MpjkcDUhzwQMiCqKSvq32S9f
4gT6bJHfZVa6K+fuaJjGXVNzYUubmeW4NiSTJeNcFuT7Is19lJlfrXO/wIg5ho9sLU+IYSxPFeZb
Zyqu7ci81kdn4zfV0c2bQ8b06rAMYbvu6ahZD/G0g5GwMbz6Gy4m5gKRfSzRMeq5ffMAyfhy+TTh
e1plBmBRk4zhysHdS4NNuBYTPga3jj+Nev+awQ1dx1m8N/qqXCGhMNmPCat2HJ7XSW1eZUVzzDNI
UWPbfmuGWF9NWsXxN/euFYeFIUBzndpDfZwKcE99whXOLSqANXEbrX0RhVfSqUTA/WFhOmUt3zxj
yK4Gy/2yJLy4dVjEtwZpoVUs2/cYp9AlrfKDTTXQKjTqeReX0ruWyVRsXHfkXYMYvWoj+E1ZgfmX
O0pMfYvu7NhVIKi1hK2syY1uRWTqqMtptGogW3EjVv7jcazocjFxMc55ujdN6Idakhi7NFap/4UM
uzORMePMSlQt1AN9mjECWDLZWqIOt9bI1KAtOmPXVWaxKc30jNvptHQpTnH90M3RApvG+xYuKEQp
vKKNJhMzmKFmbfTQnXcsZflGpDEgRUufsVc1/q5LWRnTqe13Pr5lXBst80QykneMHbxdX9vxBqxn
iqc2DIOBaABqmqnd5tSarYqFv7SZHIdpm3C2XqR163QevdVcRfVGI3lJlCpLjjb3nx0BkIfZkDd9
L8oNNMGZvET9VuWcMZLYIe3b+Nax9jlXR7qiVSzqJUqM8nWUdvpYEjNdSRXVmFVowwDzs8pVkMNm
s17FKtyR8LozuNT6vTeioMWjhaLhkgfJVDBEqIjIEBXaXnRUVtj5JgxLrkwEzlaFipaQ0ClW3DDZ
4VKCJ62KoDgqjLIQC0mn/s4Zi2wD+EvFFoz8iqA62Kys+daVy1sHkmjb1VD7cz8H5E8ubW1OTpC3
jcMIlN4DR3OHHeNF684gNZP4Vcf86yNLE3/kahISNiO/lbtoGcnOFNXSi5udlswPujbq24kjxVqQ
1SlVaGdU8R2fHA82Eah8oA3IZVNFpcI+lLLtE9N8HLirrbETPhRNenTT8mZ05VrT3Iu0X0PXOPWV
MzyjcbyPTneewDSuSlwkgTf247knlLz3fZorkhbDTpSJs8GzxbiMh8H61jA5gwGdX8Qo9NXgu58W
j8lfki4eppviq3ThMhDbPlTpfAu05szJCGaAOjWVhVftskQNmoeYI9VcUYDF4QOsSnEoJWYmV5r2
dp55C/WmuO616D6fwldR9S+1xfJADGMI3Kw9JaP+ecroBpGZSeRfVtFWx2OgkxRoMqtVTn/OyQtq
eS6HC2ymp54evsDVrBt/Urpr4ZYHzvb8n50AW5zlw7ruwJ+mYk/cD6KYFW5TUTXXCSdYCHQphPXJ
DxDp3yXO6pU9JAGJe+cFF2HBSLGcLqXRfaks91D29jMpP5qsCh3o1/IGm4AEfjXt+aPzbWxwSC70
Jcgd9ypOWWX8ik4sRl6Zz4FzqPS91jj7eaTmxEjgOCTjbdkX59yQyDJJ/tZ5/t4tzSs9qnea1ewi
kve8pwwPdP7d/hx7SbKWSf9NJu4NKI8O9/186Aor3vRuvtas7Ja0tMZegJ/fnE9xl98WsLT0JH7I
wb/EDpmonklmXyQPedKtiaq2jIslhRUzoxxoEEm+9oTEwu4bayTL97Cn4Yx9TJt30jOkh8hFACNy
yjuRtO3m77PRx9lIEU3+/Gx0r85Gf6BVq0f9cDjC56UbJm5Hnb4Gbr8/aNW+xfWSe+X32+934xC0
Zx1PkEe48aPogSPL98MROja0GGyYiNgq+viX7NWg8393xXVRi6howVxtM1Hm9/vxijsYfEcazZ+v
bceXW6HlJWB3gWEwM1EFT7T7TfYKsUzT1nZY1vAf+3tR2Dvby6gRIQ3GdiHs81QSMhpShlI9bmh0
di5Msym3ht75Vw5q4h7Wfn1rwPTj6NFpmIMieyfT6tlf9HSt2eJL2aCvkqS+LRIODPiM80CrB6ox
I/caNwOAx4pQdlSDpEKehDHnYWnsk6iE/GjcZiazqKFgjylCewPvxd5rLrKubYbyoGd96ZFlKm0O
MdkdzL73MWvu6Vyj8UrdK4WjEZPUpmPkE/NZOr++Fr3zymn3zm/4KSFUNgs5GBQsUcapzAmK+dim
eWlMSlcwJN6KbPlU9PWjnzanJJavQjN3aV3wyy4jmR/4LZaNOaMf7ctSe1+JvTNvnAnfcwI6YbGs
1pDwmzXJK+6rdGj5NCFmsUkHo1dtw0puXK1hQaufU9KLK1cd3ZK4aDfkqd+WBIaD+lqPND2CFALl
n5qNdyM/vv+aWgqYDWTrEEryuoF7wlUSN2O1M9xpK/yRuWt36nV/q7fL++J5ycZ2B6Ccdrt2W9Zm
KaFKlj3jQhqZyGBRc7H3I79ajYb1VFOQ1GtmFFBusBkmww7k/B66zoYay25thNFnUEDfejeq2Cfs
EgFyqba66PKLlxs3YTs7DOFB1dVpfYub4LNHZh3lBHdKnFfOulVsxNKhAM3oPqVpdduLQpB3Q+33
MAio2HdetOvYBAKuO7cThJ6uJJHaFRAMWpJpg1bQEenwcfWkzbkki7qA6TgZJdorNlUhsbBGMP2S
hjB6mBL3i+AkSOcUjh4JcOJUQWcnn7GgRER1qs/uZLZrOWkJNSYhiy8oNECZWQarxEowwvbInDo2
sMmKLBTf6N4NWeMXbhl7o6AjBJ/SGns7Ms4EniNpQPOYlnXKtfHW0eOX0jVDDEeFt7Glcy4cY092
g7bYyL+eSoSYXCON5sYQmGk0og9V7xgUo+2k+XRdTdqhrYghzmP2pU97YCfmWz2PN6nVQ3GMincW
KWK+UbGCi3iFeUxsMPq3q1CWA9ZneWPW5tfUwloj6xhj2fw2pv4Vc477BJPgurCXl5x0BEkgO9p6
dooRLkKE6ELnRVbNrRGBwEzT7D1dhmZP/GG39MSQjFxjckW5w8qPkvsqjuBwcgzfaHX2VI7Vk97G
jDwGyKgifS1JrPH2V1iFaT9g2G1eMA1+AjF/0qPh6PmF2IjJhghfH0PUH7BL+LBtLI+pr710BHvd
tDpXLXlpTlijyjM+d4CBwNKa/n6oXT+QEGD2o84Hr5G+dW1klacxcV6Sr39vix/bovK4/odtkTbo
c5/If1y/JbKufi8Bq4d/3x8x1hJ6tHVi8sLzPRXW/2F/NFlU6X5mbsuZBTvu9/3RJqzPYzz+A/hD
G4Xgt/3R+gW+Hw8TCAfsn0gOf2GYy8+pf5IO2H49QqRsjkJnk/w3AbhlW5dMk6PrCIeoNE6JFa9+
eGn+OT7+B4fB76XT1gfL8F/P4ZHG8kycbTaQR1CP/FE/78CFXgm/zucJzCEn1bj3t4Br0nbrFtMF
noaDAxziyI6wUrpxtJo6Q73z7HuKexhYeJ3vXFijYcJx4W8ufauB2ip68P4Xx9EENC6qJKNA1DoF
jHIUWO1GUe+zGB5Ty91kN02Qp9oqMjaj7ug7oMh0DVdjujOdGrVjcG5gy0W7Go5S0FdRS8Awyo1N
1FaptisLZrD3ZbvE36BaDVtTT7juMsMU2sbPZ8tI1z41RmKj1xZVkKDKhHnP8kwvHRac5rbjIt+C
vsIYpYM6muJns4bCNMU42nJ07MzPDubQ7Aaw82Pv6ESutKs+Hj7ZmfnQ+PK+zZZzVA6fHDwfGB/J
Z2aJdW5aC2hXc47j9KBHUXbQ25549OSccAFxZSk8rIzkRRNcZoKM61LNR0rrXuo0nQnBuw6Dqua6
TZx0T9PyuZ/EW+xknMtrE1wd1Gq2Hv2d7SkPZt/fzNQurjofOTPi1rrtpsnelWa4nOikOg1YSaYi
IweWRLsit1uyrtCXlxoVNbkUo21uQtNi3k5geFnaQ9gmdyo8sktLNstIy6iYVvUIUuc+NrFtx8U9
EvUpNhE8NBIhXyDqgBNoo3EtDGc7AVRZTTrStUWiA2k0KJiHT3VDMrXkEpcisWdQj8jmYMGKUlv5
m3ADT1a/Z7rJXhv6BocoBodi7i4Nbqt15LeHIZvmXZWLd8YGX/XC9nZUQRb4mwsoX3FmJ7d16RWI
JFZir/WMNdzVtaNPSpsLiPiSafFhcbSrTncfu1jb5XEI7m1uSQszNTDB2RXe7VCWWz81grQNNxIz
euGM2Z6+wZ03dkbQmLzwWJL2UgxP+sKgsaYMiPjg6+IMl0qQ8k/a6Wjn4mbhhw56eSm8GLSvjnCi
fTak/q5p06GylrOJTsw1mYts5S1Ht1i8rU0munVt7Lz6StUlDww7+s7rqMDMzoDGbqIw1blaZQ4s
Z/8ljwxg4PAE2lE/+1YZYT26buL9zKVuTc4GFxJHEzfWHrxJPlrZAAo5mwI7xiU4ELCBCT2viiE5
dVV24FxO0nfQP9Va/OB5xSPzSkwc41a1lXNGOza+doR1t6DJO8cm9Xe5g/jtuTLABgrQr7e6O2tM
j/x9JzsVr3hJ8dyZOSWeFUWhhlnDyLambD9phfFSjZ77LBlZYG+b55AuiDC7m+j6org+1zcWUD/u
uF0cNBopvFTh0WMmA6vGIIs48rU4D7WdXPWWytjn2C3kuq8d9Q1joMf0ylel3E3ovS2OR1uT7XzS
JCrJIB0K5RlUhHlNGsjyJR9mYNZ4IfMTfmFCUYZ91wm0VbPhrh0NNS4WPT1xWb4v6gx9b8TwMYAG
3QI4e3ac+5R3Pmh63IjuJMujR7f8JazpVJ0WTHxAP96sCH+c08wxXzloiZb9IKI643WcSUXP0Tnl
3g+LNbzNuuqtn/x1GiK6pIw/Qk3chw7vslm/yj7bIMvuh7T75rbjdW4v6TYKcVmYY/4Crx5jv/uq
gGp4vDHnIJVwg0lr5BcuHinlozK0g5nEU4olOm2Mr4XTTbS+20FaDi+DGe6Y1NdMBPtXfJnbuuVt
zsatEbpPeik/gWB7svWqWPlTej/l87n0x33X0CmrjelTFM+gqPiKTtNlCItdVGDUBXx013XLNafI
lym2ryr4cZ41PI346PQRl4S7DFsgfywWol3zbmxKJ3tdGhDSfursaJsgP5I3GEu95BDJKd5wxIaD
ajv3+sK7JnM6cKF8PDRDcuxMB3ErEbT5xKcm5P6mJeUNldzdvkqjJ3tu3BV4yb1dmBuWm4Ce9YtZ
8tcXsXv2encPvRcHj/3ioyaFgEFrL7smPrinmJPbR1hwrs4+axzTiFzQ6Ycnn3j5Z0LkR17rIFmA
s0PmPVr9fCtrwa9pyWMqtH1rO68hNZhMzLA1D/d4FALPs5ctkz+MCkl8I6zpG/ciFE+6MIWVgj2H
PuDb+a6Bx1mU3QLGvdoP1KLsOXzOZ+7yyEAGo7bk1aFKQLRY3g2j6rZlgfxWWdZ4IwxqP+j/MZmm
tc+liGFVCu+aqxZ3prJpTlJ3uU1gcN3ajvOFXAchZkFqfqwdPi+A9Rgc1iEXgyT/OuHvDQwTKlYw
zsYFRGH47T8fQtQl/+cjiE9xk+EolcL3IP3+fATRM1svijLUrtL00ck+Zf6bZf8XlPB/ewp10vqB
hzTzKXaynqcQeL4d97qvr6f05j//GWqQ8/s/wxE2Z0PTgY7983MAWZmL0U+ia0FQ0EM1QEidHsj0
/OenQc353dMwHUYxMemJdMW/4YlhMc+mmw3RdU8zbpMyHoWtqTWPvXUzDvrKkdy/7L+nj7+G8wQf
hD+/SgCu7eUfmUh41PcbBCQwLgNCBwf2T3DXv24Qxi8YMGk/B4xifaAIfrtBcO3QgbF76G82l4Uf
TSTkk3lnIR/Av1NW0b9mIkGQ+/HjArXMdYXuWTowBHjfGFN//lRCRImAQobWdbbU7swhqOJSPsRm
F14DHDSRBDQAt3tPqQRaH9/PSjfIHKumUxMtgRqPZAX/Odv0fmcF0i7EXowZm5TSIXoECSIGEVm0
5DOkpSkoTADheNuJqykdA0EjVcKGUjhqpXXQL5ZsPKV/JD5zS/LHIcoY6siodJJYKSaxgxqkNBTd
TZ4GRJUEccVRKgusm3JYdnQvUNqodJgMQWbBBFYh0HDDt1eJ0mwMpd74SsdJEHT8tL11lMLTMyvB
/WXcIDehGSkdCLxnicc6ryDrNt9MxCJki25daC61Tu+jUpNmmziC0pfyorxMSnAqI/QJpUFZEp5y
a1K6mtUsuGZFBGrxgC/pw3QylyTdGAhavRdSWjacqHrZ6Qhe3Fl30uTwgRDG/GhgVlNn63Yw3zvE
82zE7EYukVnwuURcXwCpEAHnSBS7yDAI8J5S4vO83hdI81OVPuRI9V1X3tatOMVI+PAEoVLaxe3A
W9orlV9MSVvuOk33tp5TH3W7eCtljGfUDc9Mkc4wYku8OmHpcIYx2lt9YvV/xa3PtUyaVVTeaks3
17tCR8qLRCaeQTCwgTlUmRhUmnBhGgE39l+w+mxdw+c06vGfE4pQmC3SiMJ2x2lz2ndzfGWVobeh
VpeCcIpURo1RQurNL2RbH7plutUH/dWkekVQwZKoLhaHO/DGpZ4lMabjqPpa8pjyF3AcXIZM2nJV
UtIWGBDt9haA5t5VvS8QrR9m1QRTq06YKPKuQ9USQ24ZQ58d9DG98nDu/E2nOmUW95ueVhY42O7T
oFpnCtU/k8OmzVQjjU01TQunclJdNS2Gm7VWxV+irFmgyczL1uOsxawTTpAmXxLU5kq135SqBwc2
LxM5mnE61ZGjw72cVGsOjqSbmRqdlviIU9Ork1KwY4dxBNnXcPH54rIEFQ7Jcp+rVh6nq46lrfQk
uMN949mItNk3SZVPTaXPIBkp5jg8szm9wvd6qvEkUa/mn8oxd1eGagZKMRy1qiuIi/K4ayYAmJ1q
EjKoFCoz7wVC04b74UFQOWSq7qFFc+j+VVwibNSPLgVFE6ZtzhDPjWouqqkwWqbmFKpOIwTiZwcS
IFj9e81xDjHlR5ovb2PhvNfWclVQjkQBUL9eHDw8tWpOIghzN5CByMCyRn2ya1XHUjaB+OLb47xK
Cphi1cQUeqqTiXImJuwnpwMO+LGi/1+jMP//8TUsVvo/39ruP5fd53+s2375vUCmHvnD9kZDmG4z
6/HB4Ch3y28CGXwesDhIZL+BNL4LZO4vUCeVtuR+dI0oxe37AMn5hS3RpvVKd2kVEbSC/gWBDKLH
v29vHrlzAnaOyZlI/So/b29+qFVO5Hn1dTnBpUJUZZxi5Hx3p/IpYQC5QctShucWyFTmcs21u0Nj
69+GSpAALIrxOCo+H/HeNIDevo9o40XNtQOSagRhyx57AD6J1E3fxpAErg4iYjWUzEAg9ZYbFyWC
Lt7Zv4mb4tFuEbObEYu0jTA0w8GNIgq2RPIUpuZDUSTlNVZqTQXi6PdMXLwfSCXHIo+fQivK4Gb7
t15GfHjqjXdyW/02MrTxoWz8PSamU1qzaIqJSIGcqB8Di1XV+QGh6mrAsoDitLOFTFGjp3Phtvex
pIWnnStG/O7CKMDku+ZTdxnJLzOsLcYO0bBxyRAD9g53UdLcg4CAo8hYCRM207U2OcBEe9V1SgnG
abwaooYVaYkg2jaoJlOxj6tED6asB23fZoFvL3chfo29rem8NH0ynPJkAf5hR1d+nRx9L2OEneeb
pdO+pmnuM37gZhbRpT0uZNmbkIm+NmQWcziqVfoFdnfu3VALzhiu06GEqSttZ96ltXtXya+GV31z
+XH9rBLXDbtorMvPcQ8nXoY4Biy3w5FuqvBmqq84Ta+qfICPn1tgRmepytvvkDUJthb6pZnSicoN
vd4kdgU6k8/wbqGowFo+6tf9wNPsx7qc/WMzpPvMBXjoNOGVkPWw9sIMJnl+klV3A+U+6Ch0zEfY
ixNBBd1OnnxLWrtyMvx1CFI58PNmuyTuZW7mZ6MqtlY5vFrjXB8Kc7gbJJB0fRnfeWbozmZOuqHR
r2lOxcqgzzfp5JloQPHF77XwPJjtm96GFIJh6TowjnReY61wNw3IFnszlxjdxbK1M0ZPbTrUV9Gg
UboZVfKWyADeVBdyC31fdQNL0PG+erU3HgfbXHEe3LY1O7YZbmfbHAMzbF98a4zBwOD3z2qeQrK1
9RlspxkFxuYl9jB9aUW8PJp1BQPCmEd8ve691zgn0Ojvat8OuO3d5Wx0Jwf29VLQsROPAfUU5YZD
Jz5/GX9Nl9o/dJX7dXKVicdb8P8OvsSeKW+7puIlbi9Q/rwALaQmNN2u8fRoyudBUw0pcLakfoVd
ikdM1NKWYzRvUz38ltfhTd7OfWAVtPMMcV+tnZ59HpzeqTFKsVmE07AZES6FrUfc+DimBnDA0HhJ
a0bNUC47mLaauJhja79jgsoeKkHEJR88tBc9j7lf/707fcxwBLfnP9+dgvf8H1fIyO+/35zUA3/b
nMxf8HoD91CzGMWP+2FzsnBx4izAqPVPlNP3u5cqtRJMbXAwUBkjDJNH/XNzsqA6e8KF2aT2E+VM
+Cub079vTZgrbDym4O3Aslh0c/68NXVhn8p8KY2bEqePyJKzG2Vrc5g3P7wyfzDCMT6ucD8IDzZy
DjMn4ev0e/oGnSY/PxFNJhnGt2y8sW3Ol0A4PWtjL/2xSCCLVxAYkOlc7Dxdde3P/bnJ6kfXaOH8
k5haj0xONlmrZ6ehtX0EXbwT5twlK80m5R2O7fMo63qNlM0VRI39Y5nf1zzh2qjzm0pAhNRdlH2v
MRrWyAErP2ZD3IDeqSmmtY9XdV3qkmpa28HlmJXb0Bm2NIB1QQ8ICjTIxAHZegJtcfGt3iehbD7H
Vl6th8m+p1nnTiumK02zrzqF/RAjDih6sA6Q8a/GsIiwjuuPfOPzlYiGITDUEbcfultbW6id6598
r30nc/0aFTPyIPt21rvcn+bkxm7DkwM8fgsQbO/4YUuXJscEs20fOVPsE48y0jyOTziE38oxzrZD
QT7bGZBR82qqURGV7ZDWZ8LXyysSljLtp9eWhx9/hm2s1WbQIGr2rv7YyuhSTUW/Arxw5zb9jhDJ
HmI/DcrY7PlFTSL8FBetY8O+1+Y6Xxcde6zrv/pdAUZ0CqBE44nvrQzcgAgYPbq8f+kuc/tv3gwc
Szj2/7J3XsuRG9kW/ZX7A1DAm9cqlKcpsuiaL4gmmw0PJGwC+Pq7sjWt6dbIhN4VMTMRCg1ZxTKZ
x+y99rU2DhTwFdLahjbY8OYbUxK9MNN3y8Qgn9koziQdZFvLkrultK/jGBh2b9i7YOS1TWROxe86
Yyia4BXnyR4R8j08ZwDUS/eUurjlYqj3XMbFpZPDwXDyMWwt/V0HLLGK5fxUpKlDJs1ya07Y3bok
A9SytF+MwvxisklZ55Oxr4vggB8WczwGcjTIdyURRpNXu1eetWDELqr3JRMvidclrGDqB7rMLCQm
m13MYO0Q3sLWiLZIDOHv8xHDgse1tDGmpPkMbChut4uv9fPacSfQJPqUp+NqNlsSH2wJaReM9Nbw
pdITsq0pCgf/1wxLOTIOrW19kXpwSB1jOy411d6ci/EpdyylepQGCxAnVc0jRVuYZ+bBEvbeQEDc
6wiu/eYzs5J7I9c+2OiS1E3/U/NpROc6YsPp+vUUyJDMUOOglQ6KXTle+S2jBw3RqwOCANXimKLh
jOUnN/M6NjbiOk71aN1xD6OGWiV2dwXoOBz7bi9l/0KeE2H0ECrGTCcXpL7OXb6yVpWf6dhQdGiH
pUCgDLs72QCNQUo+pl9cSUoTDCGLItO4J4FmN9X9R84UZT0NqD5d8UIOJKbcQ2K3RJFo+9n1Pk9s
dRZnztdeQfzEXLwW9mWUHfrb4ShqqLUaXXzVrs2truTVdr9KyJ2SkJ5G09q2RsI0YBHjzvKyfqsb
KMDj0X5VefH9VMsw0toWtI9AQ1PdzrX8xHoXJfBsP/W97l8LjcSjB+WKiX3WQ3sKF0bUf3OM/ixF
40uDnMpQCC0lk2PdruauP4yIu66z7Gh257Oc197K3kXH6VJfH7J+pX2unsWGVfA6WkUnOv0hZD99
+OvH/930+NeHDzzuHeT4DtrTnx++jcDSaO6wnEfvs4gOgd6zbXkFqvVrRfGnqWl/9Dgm6gSP2GfX
ZvT48+MEPXdWSvDI2UivCP0j+vMjiA+wNv/mcX6+/X59OXk9uQNp8sD3/k5X0CDHcgaAIGfXObXu
rbBqPr/Pf/2a2X/0nv34x/zuQYZE1zsTuN553HZPOH03417/4ofKSn1d8hlb3bOxXpVbc/9444fF
6ma8TrdP3Sba3GVHudrTLF6Rk7uKw3rLfzdPf/38TPVi/nwzm0rZiPvEsZj0fiNE/vCZKghPY2Sm
G2eMFjfRHdKha+M5PppktKyHcF4dPxm7aX3TbOXecdbliSHiHQr0LUDE9ben8u+YQxF5/7yQvE/H
j7ZLv3z8byGpfvB7IUk6qs0AwUS4Q7nm8Vn+PuQwvF8wD5oEnQbUrZSa/1UB2ZiLeGeJbnTZX1kq
UvX7kMP6ReEhfGYTqHYoQf+RCij4+auExRTFrYnMzsGqxKzu9/uxxFQmUCA8123dNMK70jD6oXQL
EMqiignsLL8NBtPKmZxHmA6wui9MQmYDOFWfOrc+tMjboabDkyUKPYfUp+sh1+ZQml11KqOgvMxW
JW+HyRZXVdrX78RoyaNZyvxiG7I94Xwmw6ufvA8Aova+tploG1kLDN5r+vqVL6Ee0LcHOWoEwdyy
2OWmIcOFUIg3SD4EdFvpgvnRTYd1kFR0ZDM6GPRYIOpcTOpmZjLARdmZJl5+LsshejCzACMRScPJ
Rc/wh4Lf9IxmOSwi4SJkruNTElF3xiYPOOgK0zCig4ZpgOOknj8jaQC733LRAwFoTZsezx31G9cV
2aZ0yDF71LLFKZEW5563nkzMjHiKiENDxz83r/kwWAd7LPsNIwAz9HC1t4IEp15g3KqcJNTHNnBO
o7Daz8CtmCyUCfQAlGRYHbQGKtN6TivLAh/UZYeZ7TxUBKJRFqMbvb2JXjCsvey9z4rkKNzIWq6d
rOkPfuOn4/2S+cZ2bp1qsdYJH0x5XSJmqrTdvyfCr60lp/Cfnwib4v/CuoXy8r8ngroLfzsRgl9U
Ro/67lFL/+wNN34hTZI1L7BgVERKMfd97hkQ/YP6j0kpEWTfvve/HQn+L1zxSLvRDeqwyTlI/sHc
k9Pkp5uFCarP76FW0W1msFjVf3fzNXE0MWUbobzY9ZNUmIcR3oNGM7zysq49E/YJDILy+cWx0UEj
KCCgxoOS6Je4+jptrI5LjKiGbOOW4td+zuF5EBXu4+PGG7BdbAx0pYrlo01SAo2hJmI+QL+t8BUZ
HAsYc/jFJz9hgeE9BrAuqDOrrbvAL/HgYFAixPsWMkafTs+RZJkwZuLS1kpsq6XB3tDj9wquxmTp
J60cbmo9QZ+u0Bt6m/EFcEA9CbgchUx3swJ1EJhwyubiU9Sbx94VHXGJmAHIyNjGDVC1QboIsyfn
zcWDvu8VDKQlmpFEg+nDrd0Pzw+yENMYCnoYIsFkvVRmXR3RjyM/gzNijsldosAjPM33oCJwhfGp
b43eWkuAfT5NLHg2FCO73IDY64DnxQO0jWu8MlGiMVguP1zkS5NC+daF2AGT+sKA6l66ebzHUO6z
AXOIogEDFWap5m4Gbbr1EolsDGBwCjgYHQ7iHdOoMb35nJICvnAGaLgY5QGFyythgKShKRYxMp/b
RdGJfX1+Qocu/fPU4YoW/bTgcKJIDq4STXxdhsSBRYF0s8sG0jOJGVkREDHtyjTl8Euz4CAQJ91Z
ufmI2wcoCBGfe1PJ1uLc+rTo3kqg+gmGh8Et4hu2jOK46GVLtJuW74VTb2Sm3xs1sFcLj8GqSukO
cj19SqUjMK4N/srS+izERMGs0BUo0GqSazWtPsdZFCFWYGfm6g+eBplAZqB0BkYlhYuSpuIlhhRA
1s0zaq8vnlVeRVoGDcRooKm12BQ8bfhsl93Masv6BBzxlYYbfHXs7ebARp2XZHtTjy+Nxzh34krU
TIv8GLR2c5UTO+OB88mv3MgjPphpM7HFl3KpvupFTfDKABDPdWY8YHlMjJOWvRuu9uKYeNGS6b5I
+qt51B4cLXntKaAZGwQogrRTM7U3uhU9TlV2miUa8CYyn+KSLWXSRg/R5J36jFdImLG9ZTKKw8sP
bioT1q0nH110+6siRug+aTTZxJS+AY+9l212E4sWMZYCIXnjrTTse4sbe1VGKRg540C+wtr2/WOM
KWFw5Ulozls8909qgBFXDv5W5zZJl73Vliuhw4zJu/nFGXx/l8VaiWSVvTPHHKjuRsMfrEx40TSC
V0jbl7Yrj1YwXueWeQA5+TRUGEZHsg3XjSUPkHJVoLKyzmrFPf7SNxJ6MaPlBWlZrr8zyfLb4Bjz
N/gUug0Qi3JLGN5+sSHQZaLMCMgU66kDUmOiJ1UnLqeUQV6UPZ5r7vWVid5/O4zzXaxzwRqseXVe
As6kO2t2r7MheHewLTBBch9N175GykqU04AfcpwFgAN1xLUEMY2xfjGDalt4CWop0QHNw8wcGE6x
L8mcMop+gC3Zu2uXz9uwxBdDt9+8kk17bPrXxDKwIIk1bctE797wsCQ3cW4Qbem9meSmbgwC11a2
KzazxfC+TE1wx/68zfHctf0SXbIGWXLaGg9VOuJRQtjwLhINZ9I4bogTgF2ePstkJGwm2bNR+rrQ
FG/6CgJRInTMxQ2xKWnnaGgiuqV8LnFtx9eLGQN/dMd6A8nk5PjtQ6CoM63iz5Bu/QqxNNgIe7QI
n1heohH+jDd2b2DkmvUytGfEXTcJYBsLwM0E6MZQxBt4rsdiMUnMslms9M4dgJvrISC+1lW8nIx9
gg9AR9dgVbSKqYP7Q6e3Hx4scDtpBKAE/E6mODw5lTbPZnkJFKKnmZ9KR94JmZ35PPAiAPMpgfpA
jNYhXGGLHnU8NIr8MwX9pQIFZLjdkbTlk61Pj5WJY8V2zi7oIIHglV0D32pFFfIKl0GNIg1BwTOx
nUIfqnQcF5yxcEjFvgJQ1CpSkQeyKM5crB2KYuQonhFQI8hGIjssinWk5SSjfqMfKQ4S1nnzgOE1
ZV8DJalWvKRcb5HDKIZSPDE4VFSlf6uyX6syKpQ/r8q2uGSrPyrJ+KnfSjLiGVDX0VV5qKN0m2rt
e5cGkg+nBJo4HWsiaitase8lmfcL/4yYyvg20P9WrX3v0pxf6OcC2Hse7B1GFf8I9ABv/fclWWDC
1YL95xlIAJEy8u9/aPbzEhv81EfeDUqTY9w3Y3XdS3N211k5CkGacTosSMm7jmzqMp6e6kAFoNRB
pdKasuTTZHUX4pjnMOkqeMb9sAN0EjKZY1apVybrrwIaeZC9WQ5BdlblgOvWOjJYSUrF5klaXKEh
ri7vATs8y6E28rsessIF0/0+kBO4vgh/L9/kWE+1G4IPfWSsYwNEQIs/gTZOzlGUpO45KWbv7FQ+
41cbNZK1coeir0P4sHr14Hoa+cucU3LTTUbU3zZal6RPAxcxeeu5fM7NIAFjkdf7NMHPwBXcXhMe
fZSDc+/EiG8jr3rSl+JhsPFm14l4N+HKEqE3wOAhMqeFtwqz6S1RIbpYRIgQM5/daXoaEpT9FgWh
BixaKzkC4pS5ty2EEfqzZMlfgdwkvVBlvPlMjvNXM3YuuS8JuxIIubT0ixl4D+VgfyC0TTddyYvi
+P2dZxGMBVC6AWctcV6j0H6dLVJ/c9S++sLUtlHD97LwH5rCMLd1BS+2snoNPLq5T/A5VNCVw1Km
BytBjesgK8Y+z9K90/MKBUJD1rc+Hy1h3kXmUK7hxsGesc19nTN6Nv0chvg8mYd5VDaUQf+iE4zn
Dx107siJNrnXQegOPsdJfXID79RZaMxSH4++tQT4+zCnBmQWT5H2xQmWbaFPB+IxbuIWmgGUjlC0
wHiREiMVjcTXvmZW66aAlgetfJdJMAH0qV74SPeIgWhPMcgCB66cO7TNPfrr+qZ3Mo26ke1pwGKF
fT12EQPqOK7cgRt1pU8tEXXO2CmSB4r7+mXITGDkcX/seQf7btgS1kMsnMOG19WberNU9qEc59up
cZ6Nrr8J+vQhw4uwTvXuqYyT+4QUylDow86IlTnWRaMxJu397EUPYAbulmbgK2JAPSJICHp+ms4h
a/DzgCVyBp8KDUp7bxuNTt0W+W52uKQWIyjWcoD8FDsddCjdDsmyXo618G4z4si3tQ/WXQyVtS7H
ogeLIa+c3PhC6NExHWDLM2i6djMBNEr3TsQEGTsdvy7ZJw3hHXYZ2kaGh1DI7Rz0t0Frv4xaoq/5
qo+rbC7ddTJYX8t5WFa5qO+HRax7pOeLijHyvGlZkRUNuCEfH025VHvN5tMZqZKuK9KPYjYXLkfv
xZF4r9hqHMY6Zw/VmgfaRCtkIHKVjJqJu5m1kV7a9lY22W0au6Gr5fdlMd7ECZ9tmXigPDMSVsvg
bMZVs3UL+gkpJLuqFjx5U7kP0lBA+lb/Gpn2q24V78huDshauOfjnn5CMz/ALT91mResy7J8KrHH
bMxguMxzT6yDW36qZ/vkkNTg4HqdQXwfPXty76zMFx5KS53pSNK8WZJUKdNhnKNImYODZUybmLjk
dFfj8tZa5qfGD6x9oKOjE4F3XoaxwnKW+KHdghlxUf+tgmR+B7bXHXSvvyRVD4dA6AWw53peDR5G
LwAyr8K1L32J60iSsLw1hkiG7cBSKRMC+3aq34yEp2zY83yMyxyE0Lavs8wcwzGqvX2eV9DTNZuB
29AgY9Tp2KCJvLNsK9dGR5aMHknnJp0chEFdM7EENZPQMpt7WVHAzL7Xbwy0DnlaTbxPKXhJaw5T
hyDPOUvENdz4w1xGr2U1IZ/V7HKD0BhbhMWnFbvdu+tVdGFRtmycKtpi8Zr3btU2h1rY2xySc0j8
RLH1fRo/zsNlB5H8tfWdbdVqkCCiXU3JfoeehpTNOg1AGjISY6mIz09jFEeTE925GLu3iEwOTWxd
AVaLt32Z+Tv6ZBCoqK7W0TjPx2QYvhCTCXpe9NbRBD28dpBFINqLq31SVcvjIkveGzlrW0dFPGgU
96vYLDkR+/FAvDv7OMNHM+mQMF4ExyhYTlq6lPjB6W+ifLkjlpsYUe/iazjulo5OLxkAUFP/n8WQ
PFQmq8gce8KWwRsCoURr15nVv7sN2LsSgcBu8llpzwZcOoiXqLWK5NynbOCjRQ/zOh13QiwntM9X
MFND9JvnEVbaxsoaHRkw7XbqtTeBk737VflWdBEDCS+gTSUdBOezA6DSnzfQw1hELcRG6Lp8Irbn
c51rCEvSSw4gFRec7m4QnZEraIuPAmlpXOr2trdshNGpza+EYxPKAr9fSvc1DulNFAw15kV9DGXT
wkuP8hNmNuKapyx+apICzmn0yaWZWpl8db2i/Ar455NjodlJ+hvxbT/al++RYwYbI2BZGZTFE7Zl
tv8p209T0+4WXeihVhBsCZsOtFN+KloqEeWWc7SRA8wwPia/g/MRXfkkneJOnI8ogoOwyeFuO9Vz
Obc3ZB0TBjuXGLjx8/CGHpvOOOGA/6IJ/6ucaB9dJihVowF4zz6QA2y7oe53nSc2neDfylp70jP9
aolPJdaFdiAFsss/B0P2Rqr8WhCSDCHFO4BuUp8aP153bntcOknnhvUtLenUM0Y/08LnGWEObbFp
f1jEl6wQRlzSLOb/zAE+ljBJWmKcbRKL1pAs0h2V2ysV2CGdCOCj0mGL7R4Xpy5xj6W3bkOERyCf
DYtfLiZ8MlF2ypla7ayyf7dj4LcIgtaihPBLdooqYgyLCy/AnOokhBXMvnXDrvmxlQSTio5EJU00
Z5EGVxjR0VW4zf2gIZP2MsdAJ1Du4L/Ql5q4ag2JFNHCbQZwL94CrWL2szDftlpGEmPDn+ZXaOOp
OzF+pqAEkbRVdnvwrOQo5+xrgsRsG0v/djayXb3sOibxJgbJuQqN6crX8oekGBGB2Ha5RhizyxCC
rWZyJMj0e7N8uXVl/Oa76RV4CaTNkZ7wZjWfgefC5TEl6aKCefeJr89DPDNWo397MgQRuS44xI4E
670VF3sTUtbY52HkW+KucluVklGlrtyQumloz8lY1zqT9qprj6gAJGq2VI7+uEWTp813M+9OpTup
FtoR++R48WQakrxwrOEHkySEy5Oec7cEMQ19rW01tIBhlZONkdp1iElyCKOxfoFFs2wqf4QGMsfG
pkBVbbXVRZJ5sWW/+7XJ2meyNxzANQZ/adpvAyc4JJ79mfDE85QGCKs9JSRM+3JN3UV0d4471pE4
azQGI1wnM3WhzsXWcaXx/qn3jtp8CFDGBwneXzLJCmGHU+/djD1BJoN3BR8uQNmWfTaCOcTzf2Us
M9VNLd64W+CjAf3IK/+xS1P72JMIQlRqtVsy3V3No7+3x+HcwOGnyEOCTiuxoq6RoRtVX1pZ7i2i
DtdgwpZtA7HBbop7E7tn1SNbdMpa7jl3rwKJcGJ2uOygb+2HkW90ZvKADkG2uV10qw7BW9sBRYNS
thMm1W5g5K95k5KqdJvjWMyceSUn6+C0MLkCf7zRIDAyouxvSyf7AumNJaoxr+Wc3tSxfuOgJC2q
8cY2b11GddrShG2rxcdRr59zGR/6JP3Ue/2jwCCK4Uzf+O1ucr0LOok1de/N3JivqSDVsdM4Gcv4
sMzecsiG4pUn+Jio1t6jFtwk2NBPnAqvdlmPz+VCskvdZKeJaOmQHIoalORyLUdyqhvXeBGjjpIh
v5Oy+pwLH6py1/NJwE7r1FeplTyXkhnovw39t4be/Evr1HX9R+28+pnf2nnvF8wkwBeA//xHhve9
nYfK4IIr0jkYXKaezg9LV/hDoHoVf9/2/zME+N7Oe7+wJoWWYLp0+/zYP9qwIJ37fTuPWYplsIHH
zvWg+v/Oztct3ICDM7g3sVUtgE9dXXSrGgybHWoQdxaVaDxwQmqmyw3t0/jXEFlLMkuHNCPIvHd0
GDNDqpf0VTGPwV2mz5q9ibTBzoINci8uU2uB8zaBPs2GmKa91ES46LGtxrKeFghcTS17kGBEzXQ3
ZEz28HTDNvMcUgsHNO6ww9I1m6h9X30j5ZBx2CgtV5sy7CU6sttGg/6QEYnYVm6xqUtY8LN+X6nU
RAO3/ArKyUnU5alqoiuDgMW5w7qMGitaCcElJQ4YuSJ6HEzjAAlIYPHod4vJw/Cj0htpuOLVOC3P
pRecqWBg3sUWPSwIJ6HSH9FGiJCy8NgSDGlOJESmw/jST0iMjZiQtlTHhVvP507lSkp3ZAKrsiaj
sekREi7wbXu3CHWVSTk7rQM9wdzozjCH2UBypSTCUrMntE5Ynga1qCoj48s0iRpBcgevrdmnKgkT
udBV5oOTg1L0NDgEuWcNUTtDDrtFpWmCx7lAo9g2HjmbUR7hAKPGidpIHOwkpxi365vMrO+bRq4j
T5xSojuTKauwszXIH5sNHvI3e6ZZa5Mx7OmURgJ4EV9p65FIHZtonVawUqAO5TZXuTsIv3JkgmTx
aFZ/Xap0Hobm2RWcH1re+HmoKhj5KsuHUX8aam58njxqXjvo17Tlx3EAn9Do7XOsYoFIfDix8L/0
Mdz+ieCgDJ1dXmX3wCmuUodSV0UMuSpsKFKxQ0IFELUEvqz1KTjrKpzIb6yPWsUVGSq4yCHByFFR
RglEicrKHz1s9GXWrGrR3GoJglBPpSLZ3/KR4CBlRflEpxDOpMQMuvVJV1FKlDq7URaXKXfAgyjj
bURSU/ItgElFMS26mZyEaIkUCzAEJlI+V56iWJv980SWk0Gmk93BcohJeapIe8o6Z61lTNqd/o1I
8IqRj5Rr2jyiRhW+V4VGWf1woVnKwdgTKFXPMe5xIqaanvqLzKncj18bFUJFtFKG1ZxgqmxEi2jr
w+OYcuMaOfFVNTlWLKmOCEA+V98CrlTUlUnmFeqxbdqSgUUWlmahRddTSUyTdcGpi/AowVXC6IFm
275OPaGtLbK1prR4Tm2v2lWkbpXxMu1zcrgGFciFvypYVyqky1JxXSzYPmUqwAtFJ9pSFeoV6LMf
BuR8xSrwS0UZlCoCLFJhYABqaIOpgYpuvjXIC2tVcFhNgpjwvMe6iZJjq8LFXGP6YMtzD1rJW7mI
eGmM6PW7Zf4qR9ozSJ5VGMWmzSzK85Uu2EBvQZxZVAwXN8r56OiWyj4ER1iLlLiauXbWdp3s83j6
7CbkpPVuVW0mN7hWfbxBiho2Fgv9fQEgNccf4PTwpTX9ayvtEwOk/bzUsKbwF7pJQyHLBExMBmb2
Ztz6k4aOd3DvbeyWh7gnDXfJlHnOzK4hexxnYubnPjsh474D1XEqi+yQ9M0lSsBvTvgEKtlewfS+
BVfzIHwWPtZM0YYL3j0FnIucjdBlgZduyNCVuyyvn6sawagnqZtp+kjCQgEpYyaq6Sifgo7d0FDT
mIyV4JenOZPa3uLrOG3Rieir0rfqdTCZ5TafGT7KD9miI/EcRowVc5CEecikBiMGE5JCjUooVJ9a
NTyxmKKYtvORqLHKnHvMqJi06F39HjB5WZjAjGoUI5jJCDWckQxGQ0cNbAw1umlK7zzSEMYEV660
mPFOwZzHYd7Dn0rsXHKLxtfeOmokhO+DrVDhXXlqXJSw7BjUAGmI/Olgq5mSiFDcBrB4mDaVEqdh
pAZQhhpFdcykgC8sa1eNqeTUYsb4t0r6j8GcLcCfrz12xUdV/YEQhR/6XiaZBoY5GI0I0LCQf9tf
fC+TTJMoa9/mPwZFFEqV/249UK/oOg7R70qU/3ocLOCOPjGtAf+DMhOx6z8Rohguv+kHiSNCFNth
AoQHz/TBZ6lf99PWAzaUZ06DH9yaJRliNLeL2LXfPMOWRtDYxknKLnpls9veES6AwxjqTLVecB27
WXDVVkFOU52/5axjZ0YqYPbi7WxztqyEVUzKX70cqslqNsMY3DHM/wpJlejKlmCYwdxpYE7jDvSL
0+wgq+z8ii5caHstLd6cFu6uorHFmbzLFTnV7duQqfiecm+vsxRYWUBWoe/CwQO7ipfjxmROlFJT
MSiFzDro854UVFinmvEGqmU1gaI8tOBrgM8ella+0zVe4/guHAUQdj8FRO1Ao6P2ceqPloM7V5zY
TBFj8bk2twsrZKTU1docDa6k+jQqzqxUxFkIku1GKAot0DH+WgIcwq6mrgJX6yturVQE21axbE0W
J4kNKdoa4m2reLdGG8N1AYHrg8JFyQOVxsZLZ4DJLaEMkcXAbLS+nRRHV4NQuS0VWxeW+EEq2m6Q
gm41UKWHurS5QBSVF4yNFbIhKNdA1JGdz3elkx+6mKw9fLlf5nL0kfDB+W3rCAkKSm4rJlLTHKiB
DONrb2pHA0iw7OerTFGDI8UPHr+RhBVTuFZ04VlxhieAwwvg4VKr5Avv56l3XpfSvbbJKh+LAmBt
diQL5yIVwbgFPdCFiLeb5Eozq4FmH6JivBJFUSdc3n0eNDdT7HiHovOpvpwx2aUgBidY1k1wbWJj
Pnp5Pe6IKKoPvC5C39g6iUYEdwcXKr8hgBxqwHNpapYmozPbO9E6dhEWwxTvjLlGeOlVrXmF8XB4
9mvX35Mupb/82zR+axoNFNx/fhyCYIDx/aX/3xNR/dxvJyLqWva8ipHxa671D3tgdLwIzoHd6pZC
XrAi/s8eGGuXimUDuQHQD86diaDuu+tLxxCm2rz/bo//gTTv98I8G5gesdq+gfvZRDf4uy1wP8Bp
9mpHngf9GJPRMuNU3f3wovyB4+tX69jPunIdBasduJ6DMJi/9+dD10B9AeeyE2dLYrDqKIg7LBWJ
ZVbWOVFFlDIATfndUqeuf5MkiffCCWHmd77uEJ+tl5NJgIeAI1ofmmQiepEi0Uo3S2qwNkF3Os/F
OXI00kS1w9wFAKjrS6/jLpkTY7M03v2UdvtohjOVlNMW0bARUmYcNSFvNT9/K2ZwSSDiByEOoLJf
UKAx9EyT27jvNr5ZHLyko3Ga2q9MgHeiSGVYcGLt0sYe1hrd2qp35L4ZmcQNXvZI6FZjdWv+vJfY
1Q96gO/FMsSxmaqPogsS5Eo20rXyIwK+hMJRECKnT4Dtu3YL/+GKEEUZ+pWSrJARiVhIf1O8Los2
mxVg9TAa8TEyzcd24tttpv1zXlKyJrN871z7ONtttW0ycV0lkwyDxqMGSyNnHdXtpU1xXnt23W/i
2bouY8SUfWfdFRIGxjIOL1pmEauCj5f7G6C82X/NPPpRPzVrxNM11kD75El4gcLGV17kTbZ3dbID
2LDE6ykbCCAWSJyN0ScXVyzPRlmzY2a9XA/avSPJ+y3N4kGWATMCP/+kgR5cmVIcArJ/bopeGmuE
esdOA6mqGw3Gaj++ivt3i1D2YGCCXgIHtqeGOXZRPUcL8QtRA7Ovjo1j6w9t2I/ebvGcd5Eiz5Jz
exo8+93v8DD7WfrVLxkyxra/hE0fPKDC/GqnYACb9CNtWKWifd4nJppsg2ieOi7Po9m9GVmmQ9Vl
eY4X8FCkOXvTsd+mvpJwWlh87K6XG0y2AU3ocEZ69DjGA6z6ogcrkbRqw3+Jp75BQR0P6ypCYGbD
Hh65ARd1Ogd+djEBXiDaYnAcjM+5zlwznd2vGcHnjpFjRJGYkqwpj1YaELXrqizadZylYs258hjP
zaWyHUHcnAV40/PCpE4kH9bpdcwKPj2yGTY+fni2tvSTboRBjft7zKoP1PLudmz1xzwumOZWJvEU
JMqMMR2+p33tNf8TUQeojvJk7VkG2o0pQg6HCd+tzU1vzflBfLM2EdXaRCCJWezjkWwenFguK+oK
PuWAmx9znAoHZ4Fg5VryoWlM7iDxUSLBTXNRrIpafDH6huU9qzxEXOwccwlTp02zZ9vuw8KNCvYq
T1WwmXYzietXZc1UX9Pu2yELVKUBeC2MSgA1o/RPgKxJMA2YqXQFVDYWX+vYEtjGrGsbHhC1mEYd
Rtgx303CkMRNV3svie98pPrUYLmn97IZb5SFICqESHrf/qxNw0n2kA+c4VPMNEydOfdtZWwIk7yv
iWSWhnYP9T90tfjJzMH7+g76F/0USACGHuGKJBEvXb8lbn5NptoXRtpgIL0szLs+3wCzX+cNs7Ku
JY6OXWgrxhsPwEnb5KAEEOCiJZFoaVhmZKS4Rpp2O/ftU0n67SYyu4+OpDyzmZ617sMZ+CSOrre1
bFI01hFEFRSxkaSIzYZZ0zb6OHtPXjxOu6ZpzXUWTyRa+aIXN7llvZS1rV2mhbi5sYqhkmecW6u8
tgX4RWJUdv1ct2ufBGikxuVT3nTbtpcvUhZPXaN9Qmpr3emDs5y58JptWzSfG9M4JK31ZYr8W5W5
HBRBrHIUEGqzGQ3TZvSZkRTptlzK4MEu/fk6LpNLGsdvaDK0tczBHbaM0yk2exxtFdt4uwf8bPIu
yuQhTessDCztOIzdy2DUC8tYZkCRcikKnh/5DNw96yDnDBi0wg27QSy3Wu9rD27GYnueA6nwrCwb
YGc/R0GH3773yj3fZj9sij603XHcj0YvCUontcZi/LeTQOqo9oA+xT1tKYtKB/JmYKje80wk130H
15IR/o5hDQWqFpERidJmcY0HSu2X1pgusdO6BxzEL6Ro18SILdHNX1+7FA8/dDrK0aZj3CSQz6XX
8Rz9dzc7yEuBN7sZzrUvGancZv6Dy7Mm5XyV/Z2z7ecqQj0WnZ5rWAYGdg+Jmuq6ftCSdV099SZd
+NmHV5k/NXA5tL8xp/3dQ6h//8NDwPQqCjkU8iz4YhJWCnb01RaXv37N/vBBAhpNj4rNMFXV9eOD
dAkJahlDurPVPjT1FZMxbTz89UP879vCS/XDQ7As+PEhevbcsWFP8mz7lxKuBqYdqpDK+5zNf/NI
ylPxc9X18yOpZ/LDK8ZszYGbyR/TMHI1KgQ95nEoWS9txvK4lMuvM5F/4NQ0GOCZjk2wlQUmTj2d
Hx6uj7NpaXtD0gG9GBBOPPch/n/2zms5bqPturfy3wBcQCP24T8YTORwmEnpBEVSJHLOuPpvgbJk
yeGt0rmOXLZMigHofsLea4fHKfvda3wdvSysoP/uNT4V6b/oTZeP+d5naFh2oHgbGtpSaSxF9g+T
F+AQKhsq21I/OBHf+gx9wfeZ7Kbw+aDYAEr0vc/gj3RNVy142wxmkCP8kisQoNJPjyOTl2XugvHQ
krrNgST/Nnlp6yHOWXCP57L1lVXpkCvg13etyEI3FlO7xnpa3EW9lp5Fm2W3TefXO0XVul03+xqK
tZGFdeEvOjf9Uqc58toUYMNkx286Zjm3RcdyDKv+RXZDeVdM6PeTKh2vZBCAg8hy25WdXzCgJ5BX
7QDQoBXpo7A402nj0Bjy4AYvBpJuHJJe0JNg1WjafYZ6Z5emereNAathEd7rk0Pp2NWb0YC9bPWI
MVIStlzDkp8V1RrQrjoP+SyiewR5xSkUU75pZ3ZETM1HF+W9OEcajsRRbeWuwopyDgaBjeCDsl9i
vGMhJXdljocvCOynomFLY5REKi0ZOh3AflJ2Pg0wn1YtKH+5MP1N4P5qZyC8DFRPgP1PwP+TG/nA
T/NEMDTF9JIQUFhdRjBt+NkkPIDZ97jCPvQYVMkj5r3UK5ekAT+Ibtsle0BfUgj0XIPlFgS7ZEZt
qlgkIiyZBbASDlaNJaKdcwwYS7BBu0QchD5arZzUA37RXLlWecvNd2mQi+DM0U4HZMx3on/xSU5g
Hd9fkJ3IdLtlnV6Rr4A4FN6VP1+aBb/SFvNNRRZDkukvQq8fCXt8VXzEjEUYHhLSG6wlxsEutZbF
HC2lMog9TYvpMvho1gP5D5xQBGpkxs5CZwDMwvGKJSzCJDWiDOZrsu+O8RInoSzBEv0SMcHzQYKc
Q0DUWZ/IBHmBEG5Oe7tFc2WDAFJgmTPhY3q1hkzeUMCZb0pDWHPn0KooE2Yy3J6+jM2T2qfENjO8
t02aP4rkC50J+yrtWYP5qhYyAUTjM5kJiywNJY0yi5vaJGS5d2rYhkHyWonSoH2NJrSP5EziaYVV
kDAUTGZ+yFHj75WpqdwAyac78IK7Kk+qHpQ3aY5wr4+M/egw9y4h0d/lod8wIIf+QM7TqjZjmgFp
ZYuGDG2Pylp38t+mSezIwDTJyzPv6tb/LPK8de2EoaQtLymd0/3AQHVFaoy6wsWwV5zaONtUhKvR
qVt8eBE89RrQQrLEs7TmBbumEsXRJF0VMVqddtGBidSxMlKke0XEb6llfKU/NZp/VoZgM0CQ2hj4
59qKEZwrMxAnIC1WwUT/VqUvYWoSHYoOVfCalKU98oPNPpdhc2C/W+4ThY1eGmnamdzOJeJUCW9Y
mAWH3KAdhWt52VdshGJJ2Mok8S7lS15ODwrfL8drrK8DOW5lcuC6dFadEP5OrVq2Vk1hbKcAUZSq
VA0GtPwYhKrtTUGnHxormEGMa8rWKCriAkjtsXBDbeZkOihq8FQqmX4l4ghwDda4vRIZksTA8qDo
gxuMge8h0P1U2XHwDpxzjcK+M67tOH6b47lFNSX1tv69uvh6f2pcKP99f+7z6V/uz+Vjvt2fmvmH
xf0Imui7VOPb/akh48BPz6SMveFHxOb3+3NRcbDoQA+hU/WwUvjr/jTB6TLxcrh6sdH+8ubiZ3gE
/CdVSn35Goilwr6v/62c08O0JNLFbi+zxAo3RZFG67HImGZcT6KfkchFMsQ27hlhr4ZYf/pkAA3Y
Cg0rEJfQAAkt0iGHOVE1nbFgmsjKHAKWUCloo1WR6Wamob7FpY4zZGUYaQQQU/HjXqwVXxY5Cz7w
Y1d218k6X9sk2REVbppDw62mVHHzjO28RmbS4lFskM593buRLVhv46aUp7BSw31A/CfIwcG4r3iR
EwcfVcVmz1wZScxwqxr6I4H00waTRX5pp0l3A4N0eFFz0wRLHofBS2/UIwtkNVuWywXDlMK/jBXT
2OB6DDEDaIA0nEGfrjVb+HvknMMpye3hUsPktUYh8Q7PHxLcKET9TNBc46YtOkI3RI26D824vRND
he4wzM1XZ07ltg/TgRkUbCkMattUMfQbZ1YJXl8cF2mnjgZ6YPYRZtsi47fU6bLGEMyqNW42Rqkh
f2sanLAMAOEYz327q3wVG5ZWApOSMhSf9bmcr8KZnfEqEZ14SThqj13VBPuJ5cGTbjb6mlYFVXBJ
6zw7WXfuuuSVH2m+R+aj3Wqg5FM3BiJ24vCUK9MuwssJ3O46mAgeMKOm2UqSHb14ls7lXNGrZhVy
DTl9JEEF0ytyw/QCZ1zz0GVFt2nA2+G5jsRJ17UUC0TIJTdJ6ghtrKxrRlLKholZc6VHerlGAVgc
Kb76Y9MkB7S4SF8cxdlUBHi9D0aY7pwyCw5jwdm3MmNbOUW+pUL7aoBmFROOhLbtrItqcvJtGeBS
MLAcr0jTooeYhfQPaa1YDwzWHrFciwuhQM/ky/c3Crj7U1MIxMp1rZ7ZswNIgm27DyL0pwVGXgY+
5XQTksC17psB2UvUjdR2s79pqqYJ1h8Hym9mifY/mSX7rHyro+f0X7Ygf0OWLKAiPKofu1/Oye+n
q/WHBnnE5mCjOQB78X0LorM60XWUKBq5x+xHLGYY3+Rz4g9rCRuCiUd/8gHT+4UtCO66v3UnIG8M
kx4JntESI7hkJP3YvdphVeejUk2ECJWlttHgNdqn0kZ88q7Oc24yBG6potnB4qaZd4WVJAOFwxgz
W7GM5MYXaFwdLLC7WuvtacF3vlKXNm4h/WdwdbeJn2RXUwKyrJotsSFaLGASrzanwrLew9JhFpgB
uIT8H22wLqD2aKIancpgr1CHmxczOtO9kqctiwg8HpM7Wjje4jioL0vI7My55AW+o+SIrTRf0zVM
GwB5AEgrFEkpKDgX8hxOKlx/l0Y/HciguXCKFj1KlCabRJEoYll7O0z9LTJ/E1AEo7RxhrQMCCum
z8TUoI2rRmZ1ldNBJjOUTylzpdIa84MddneaFaqMYdE3o6MuicGZlMs6tl6HnBFkVdjalmblfY7j
z4ilsTQbvZbtBx+od2nE0z0eAR9TT3gKYHjvuzB+a4NZfGIgj38KR9+mt9JqbTcpjQd7TSjZMpdH
vN2aZw2qcjDKUb0wI0RgEVQ6RFgcKrVtXztpEN+yo9kP4XSnlGa+Kozc2KpOcW1bqIkg6UHlVg2L
wTn7pTlBt26oA9vzKVEutJCmyZ5ISPyENA6jmqonx9aftJbgkA+uzVzXVn0O+d31REVHp0njbETf
ovkYrWI+k3QdqUC+diRMG8FO19yX7STuFNGl0Z5E5/lQ97k8R3jAq1UxOwjKJT8E/yzRlqPtTiTC
GplcCGx2xNLNt0Zfa+Pv0+trXSgYhPx3XXgqvhSv/zy6lg/6XhjKP1iQCvLRiEAAi/XjYIU1LXZc
BhoGERogVL4fXSxwwUkb8k+itM15821/C4/FWcakOnwdhxNH+xVFy3I6/jDlY6yy0FQoWzVqADLb
/x6YUBWV0SIaC6+qLiYChhwcPCemfdZEFNb0ToqvzB4OvsEiw7ecVQL9Itvw10CIW8iPaqa1t4Ol
BfKdumhX49bwn2kaY9VjJpIqR77pxj9oBP1qXoAghIVGkkcZx5gRwhLWOuQ0XNTmnOLva6QPzxIH
2BJqPAGgdbuWqpls3anDX4qygtAne+jYpqaxyU4Nkai5q4IaKmDOQojsoSGtz5j5u2rV6dNge4Gj
FtYqcay1Ored8mYSaLz9fXF/lS/8z0f/+Fb/i5hL+/HJhyamWTzylo1bB3DoX5c2FnZYsYSC4EW3
dMumkfpmYafv+dATaOSF0AAtkoJvl7ZBS8R0UuWt+Ioa+5VH/0PS/teAm0dfstrQlneTqSZhWUvH
9MPE2dbKgFHK3F7ajQ3HBf4HxJFQpGu7MuTW7p3nxg+GTbXkwGtEQBjKIWucDsukHYn4UySwVp5D
v+iqPeqdEpV1F5P5VypmZ1+VbGmHq3woL0tEsXd4oUA6hPpsA5WYG26VMP6sk2x1PeUkKZSqT6MV
sMohCiFfejNhzKSqf5SZlUlE/d7wlQy8iNbaafOJeKKYbd4IuwJbld5ZTUT8L1B47QDknZTAYOb2
QWDgx2xalyBBqQdovUCI4alprXW9hA4qyVR5Q+Vr2z6xNG9YwgnVxKofZmjRKKrlZM2e3iyRhpOQ
8+ilH1GHpb2cCblRKvhQy9k6dVMTFutSFNZtZFlkJuKExOi1BClqZZi0t4meAtEhZSU9Ax8Lxbay
+fcpaIqneTBkvCoBjMT1agwLe4/pXFe936/oxyu6DNz/+3a6xZaSPf/zelo+6tv1hKyS22SRNdKy
G7wPP7ykAKcZSzhg+KhfGPL/9ZI6yDThB0rD1kAJ/m3uD7GCeb+BP2WRZP+S4hKC5k8XFLtBhD+I
QZla2KwSuCx/fkuTnIVdgonyLHT8W1htiVRjS9C91lBKegOespr5yU7xW1bUmnzwWxI0/Dqs1qZp
v7RZemuTU7XiHFqTMK4yrIteOkXdN311kSjxkh3DE8sieQ2pud0kuvYZBUuwbVhIHrOq2mMLdom3
Oes06FkoT00yrbS6kaiJ44prakbb0ji7nACceVDWtt6u28GiN1Xmq8TqfBe9z43Q208SbLtrJvk1
r6aGsly5U0JSAf0e+GsV4Wn0yRGKn9Jo+jwEy5rVjG+aGkVljWKFEMhjpoJWiOd8O2FWPKmlsXCO
DKQuxnE2S2IRuqPT+F9KORwjYX0GxpFcI3dBtJL7BFJCRAgEw//a9BoOxmfCEhBZQyOem/oBGeiX
wMakyuyzgq2R3o+28gVKK99IKrGFO6cpDTgI+R58NTnBt30mUbzZ9H4SecOEgTAUFVGcpk9gAuV1
TbLiVPrnphs+s0cEkGOLi9Gptq2BJkWyUsFOAgkJJlblm+dElKQ4DvOuGzTVnWb5EFtyw3yJhWO4
VVundxsnvib1zXD7HJ9nM18MjUOZ4ZdPUWhighUVHhHJ+riZUO8n7ZM5D8dhYR22TfZeOPUJgHpw
gcPlUgJcWOet5Q0NAUhMuXaNLwmBqII7kdacaiHhOXYrD4PVlR5H1pc8sG8Df9p2yTB6WYEuvxAa
NYbyBkfyOFug4OL2kf+2ywtIakbvsDAQEVP+uL3CDJleyDG7Y5OgocmQdra2uPTWoe6Ha7tr3jON
RB+73lp9FQJKqIMN/yOorsorCzoINel7OFTNLfLcLYTIT8akbTGHIp1yzOMHmqAtiMbO8wzfVEjY
ECMXo52JwvZ7bwptVicUUm4y1yc0Nc0qzoioEpO+FUFxTBh/pXIhNcj62kiGQxxCFQprZlGSn73h
H1uCRIg3jezpFQx4/Qh6AFl9IMl2tYrcvhElSkRuT+Aq12opq5tmCrJ0q0ENwh5Ee4hatRP+OwaK
N9+EuR4WKYLcyj7Y+fjQWPVLm1CylQVNVSC3Sphca4R9kM4JBIXcz3K0sb7b/TpKVapOs73U9NTg
myPY1baXQjDeFe1oeCE6fhym9uzGkMbdMsrWbTFudGtiZUWqKbImh0AmVU73/KKJDYxR/EXKRV6F
2zBR9vmS88RKJIjTtcQ1FGdwrZwcT5SDidiYoZq0j1pVg/3gVhSoAfvMgUIdxRd2VCUALQQgY3s7
SDYdZcYv5KGt4+00dpvOGdw+6/aRAoWcmeJ6yhqUOfIpQ9y4auqQoE+GegzYgBVkVofNKd/JSr3U
W/naDLScuDamEW95YuCwLqeT0cV7MJ4gdIVaH8Uw8LtdgBXsPJv6tav7M+kZ6yY27tQoQMYz1UiP
bQv9ZO4ZCW+hCvquGpco+kS9NTv/rbKW3PA+27cycNzG7ncsNUdXqcydoeMDV+eeXF5M6ZFJpx/1
bmh0p8HOj9AVEOclKbsn5xP7Tsa4zq5b9NKTupV2dxVZ/aMqyr1vjBsUZLaXxCnn35izy7WKG528
NTea67OhoroM4l3KAVhG/aVvzUgpyDkV7UKTOaD2pMrHkDxiLp5nsaHg8HRF2xdF0yMhxzk3Dzo+
5/ao5mRVwVxkUklcRqm+pD6a8lZ0n/XIgY1ClteeZMirJearDIJrbXYuaDbg2s9KxDJuQIgNArwg
BSQpA0iqcBz3emB2WxmOV2w48bBNVzR+77qYyaMs143Veg15XJsoqnJ3oGuf2vKqtZ37MerAu5sm
fPrMRIgWi/Qp0f1pHZT9e9x0xDCrD2mXA+AuLkLZ9Cv0a1BTxFpE9bsZTF7XaeVlOI5oM+f7RBPQ
2fvkgRPYa4DX1IoPR1GVnwgYexyr8ThkIaPjLrPJJHHcVguPAlRjOC774uBoMG12fWPa+xXDWmLv
qmlZdDbJQ58qA7ElSq5tSEEbXGd0vFRlzmCyPCyHbGZrEH4BswbQuSehrqm1ZznPZw3rlUe5wNQY
nuZYM6P29erdbns2cW1yaiOb43Iac8Yk0WMRi6siEzf0gmTbFQaVX/NKmt+6VeXBVqZzY437WXB+
1TaMX8KZ78dJeYBUcJdGaFqHXF+jo4UQMA1nitfZNWbnds7Z26Vk2l3XLXYkkwSdnZGrEC38nl1/
BsIgPP5QT/2LOFn8U5ZAJ4KDAgcvWms2xD+XJ02FNHoiqOKs3WarJ3PTX4GbW2WufL67YTh3iLzC
bXfRhbkd1uGu2IQHM9jFp/B3D/rn+OV/ruVOb/Xr25d/FrhEmfxV4CJ4p80EUcbKnoaSP/o2OsZt
RBHLAs6Utmb9KKDXaV11sucWqRWOj4+y+FsXav3BYFVnAKPraNKXtvYXRsfin08QUGMIukxhlk6U
GdHPT5CuiAH5apKcNdVo6wNsKCCIUZ8ZCoaLxB687IMu0VVxxVIqWXciw4yT7cb9XvXjbQ7WBoXv
KgZTES68Ck7NO3R29VEdcYk8+QirsALlyUINFC72pDNj5Hhtxlm7K4VJLiIQNdBc51HBSitt8ezb
Ak5KnRxLdb7KLTInkNo8cMSjYAG80Dnjw6wOXyxyqQDd8wnYQe2CkYe/c4qd0chr1FxkjtXCy+IM
cQrze1RqbUJySXbFCgzwE3HnSzzG2Sn8a0JZFs4KLNYACcRqrJ1db+HAzpJht4RCM5rFM14gY+hj
joSiqHpPmka8K7GRerLGxGkWvuVlVfjUJVUL0ggKVsDIHMCDqm30kEitTtEVqKtWG+7I9A1UbgTN
xp7MaUMfraS7MFSXqxUXL8qd9KhWSHrs1h4frZ7BQGGjeGtGAOORI3BhaZF2OU0GonxDXOE2Ymrd
IP21KrvdojxuNmGRQepEHoDGPnZQhlbtLhf6vJ7CmoiOXhtXLZpskpO1Or/2GXQdnbKGGJbJiZq4
0fIqOhi2Yml7mTRKshEwzBDfJtqLVunGuusUNPUxRwkudIyNWLGY1Ic5aFnUoBuVREx89zi+RkAe
WL+St7ToHqkLLwpVDdZwmLZpm3C/meaplsqpURDph1m0Nsv0ZgxBBYv6k1CSi3jAnFuJ7A7xDpjO
0Hk1ygqaln2ZZyPVc9iCMYfvFAlP13ud7HMzjOcTwANysVkiJ2VM8qrR+3sMo/suA3WDDjzHCSUc
L5uD13kcIlQtXPKlXIipGXNHU+bw+GrzFfhfvTINNQGm0pLAHo5ep6H9ykibW/z1U5ub6whdDCYO
OgjfB8BmDUCWVLPYKQGRQKpDcGjE/xnzeUNNejasVBeoSb5KTfx4zmz06MKjfq2O6qVtMsJJAL2u
pjIByKm2R4sACbc1U+FFaUMmZCY+WyN53P5U3NIqEvs+MaT388YmlCvEXkZepaSrXTW2/Zb5wRcY
uymU29QFh4tCW4mvOpN7b8KKr6Elc7tmyrxCWwYnxSA3Do8+PR06Z7Vug7VvwgtlIVDMQAhiu0gO
edMWd78HJF9nmAwd/3tAcozyoPnn9aHxQd/mI9A5lvEIw0rNAjX3tyGmzmNsMT+x0Gf8MB6x/oBA
7Dg2Cg7nz8H+t9tjkXVwC9mCTabN2vKXxiM205mfx/fcQnw+VgEGIV7g0X++PDRfb5E42eZlOCt6
fQ+NkuBeN58ybR2SjgsAHR9ldGqcRH8qMUnhGx3Sa1XRXQnqLgPRReC529qqD33HsZpqnxU1Z5Td
A5cGKsHEkUT4w6CncJ7QmM7JdQFvk0LwBhDx53EQaLx0/XKy8mpt5EA6EWEBTKzCl8Km6RMLypP9
bLiaVMUdoXziZkpcAuYJZIAAGmr+E0oEmKCFGoM7Sz9YoUkKlCFbAKI91xAw0ZDParkF0Yf5yVAm
azeBu46MyIcTnQ6e2hLJ5ed9+SLi+XPQc+C0Vua7WplvOLMHFxDIroqVHXV5y/2Sv6g6XVkK2HkN
nOo+CpRXcSLu8FQYwLJ1mx9POuO1SP07rXKus0L15NRv4/laa637oW8eLU4VAzCdPP1+Eb9OKnk0
//tFvA2fm/bfJpV81Lc3kWqNWBnW9gjrAalYlOLfCzmdKAIKKJIDVN48gXj8LyckeeBk0SwJrR/7
su/rBEMlt9VkfPCB1vmYb/5CIWfqf1dYsUojH9bWOAwg/aB5/vldZLem6iU+gyuVxoM7q2tWmjE8
9LYVIElUziVeRSgU0SlJBTLKiW0boBkPu3Oz7kfnreiiE5XqHU0RwxGeu/Wks4FvAsJLHX3npN3G
an0vA3YyDPwzU2iE8PShsvnUmABxI95RfQRnNlbPuINOU9u9MdLzBql7hITHq0krTxQsrwQ2bINJ
gtVtgJAqUdbt4rLe1VIySwqYW5mbGVQbJ0q40sz+whLFvT30l4MIO3eqjWgbzuI5rdWNUNWnUO3N
je2D2y2rbNrWWkoeORF9IMKbgzm2MC6g7mCR3kk99pIwvvX7Fg46sWxej3Qy565bNU65GSwogIAN
1SMbU+HOzkA2Za7lmLjts9TTL+wky+1EKwqaM4G7M/l3kGVIuuzGtZoP5Hk18SkxMHARMpB4HAip
G3I6uni6JtbwjkcQzCE0W0DnQ3rfmjUrHVLSKFuvQ0bGq9yR+LgVpBVme5K5uKvCbiva8ToaI8Xr
ZmrFKRu26uy8awqeOEzZ19RKiBEc+SmOtRt4QswaAGmCitUzd7L0uzmLPiWcjjipgMA5ic20KLpA
ho9+WH1vwJDt4hkZmIi6yQtRhNKO69ddGz6GMV9/wBSXfIKFR0H+WmehISlz3fBAL70VMZrQJkUJ
y8RxwQMD3rAI4OXvUQm7mnzypYucHmDKbpDWjm7hlDnUjQ68u01mW45Tv52kuR5iPi5l0LRG/2Zs
UXGdi8J5BBrO770hNwPlFoVP+Unrogt664s6ktEekQKVt0U2rCFyctwbwGMZgB96kXLr68UlFJsL
9GLY0xFsryAXXKpx8YlGBg1ISrXaRTVUc0LwBr7QoQdjo6X9rtLUKyFw2Jnw3oifONZBt2/y8r5T
+m3R5KewKDZoziTeVwR4QdNLz7CGRZyCgsRR+ydmaG9NL3CGjVuY6OCTcmALuVWc1YnvCuBzUQ30
H7K/dZJ006qHar5s+5PP3GciEi8Y87Nm5lei93fs6M5Kxwyy5wIQKWTeDmxgV4DZF0v4h0XELw9o
5LuWEvoMoKFW53zSPDNLl9VKhry6s9aZ2r+Hycjtkum2J8rlVU2alzEGXVI473Y8dvsCHaSLJ19u
Sd3Zh1plrmffyOoVg1occ7kctwowLs8cdbCZhGlspOKQN0e9GIxhe4CkGW+y3mBs3xqbLky+FHr/
VM3d62wPMeh9hDSBPlxN3RLgzkTOnVomVhxHhAKYXS4YIgZpe1xCJ9YLvXYVjdgtV3nW7s08i62N
3pWWed+rSO+3IayubQcGinepytG72Ex9PKcLRs1zcjhVq6pHjrpj5TMRTqKbc3Sp5IjRb+VX1YCs
Ff0IGL84DhgIwqeanIT+nLTlDpSy5gJhgOBlJAbTNDOA/jQ/I52/aXzcrm0yHgwj7za1Uo9bR7GO
JmXHGjGtsepS65WJIRvd1gJjHRtPiWI5brho5wk1tA56wcMMgRChp2GotMXF59I3nsO4Zv7kxCCN
ZtA6MuxdPSTrwcjprlUVpGTd1jhGwPtPkHGgJyLTLJUTVcC14ndHMBKf+2h4pxAjPxrcUqON6ioo
6bAbfTyE095UB6awdvkcJcWNFZF30Ap2yzpVIiLG4VYV8aXfyAslnj6loXifNZy2TWC+J332kKtw
seaDmEbiIc3a84P6Jhk5elQSBWDpjukxDe2TmqSEZI3F8xDMOIj1msaD0qmKZlpskV1adjKvAbsT
xg0nFQ+ggHlrzuto7E6zOh2lOfouP4VyZ5MksGoKtd3SvHG2G+XaZoXlzTVIrdxX7qBfzmbwKGqa
IseI/TXm63jtJHLgL69xdiRyhysDK/yYOmt9AFo2OCOOmbEcgBENF5h4xMpxoBgGmn2OhvwEXztz
R7ZGkoKuyRriidtnSw6Th87pdiL8mxBlAsrBa5SuGXf3ftc1627IH6lND7ECGsvu5qeukuGGt87g
GWA9h/9QcWtyHxsp7zmgN2qZXuDoXEh1+g53+H3VR1slYtJNcsbCfr7qnfJGmsVLxEUH8ky9NGgE
MU35LJ8Mf+vPWo0Vst4HSs+V0ALlFiZ7bAyAe2lOZIYEbCOxT24bk/IzMpoz6RhXVCKbXLQPKPJ2
uEvpcDvBA9gZI8T0rPdUzanWMvHtrUIF7dogHddW0m9zRdG2lgidfcsP1G3C9AyeL16xojqATiOf
w2Js2oz3aU6lOhVcghxZG2jDAS5X7Zjm0nJRwwSYN/L0GGjiytJYByoNirE2VxkoiRQNoA9ZadIr
341tAsGM6Crs4gcFpuxGyQmx4JDjgANVMGeCV8J0rkTdz5T3OuusYnzNi+BRN6szaPrX2dBfR0vd
lI31VCTBUxGUFqi4aO9n5ZNaAFE16tvBEUc9BhsmyNpUU2bU9fC8LI46W7xJhG1BF13PEOdAOKvY
1JdDXDEBuALy/F12f+1/qZL/u+y+eG6at39T8fBR38puGmDJmNMifFigD1iMmd/Lbiry5T9TeaN6
/VHFg36Nshu9OvU4LTKIyu9lN0gmW6V6JzvsW7H+C2X3Bx7z5xbYBJFJhU/Cp6EakJ5+Lrv7To4K
re1wnmgobS/s/RiHvc16KJiiECjusr5MAt2b4p6NidZpsIYQH0Xtvpwjzs7empOLBiP37MUMmZC7
DWVeYOrLEe3xEA82Ctiy9mevDeoI8O1Y78YPydvXi2xqGsgbLDiQxfnTPOPB+6qXw/6AUKayAjFz
AX4o6+YC8+7K/rgkMwHpz0NhAWppwQgjhU+4UT8u17oPDPM+1Vicbgjg2SM24pbPCSvYlRw5u1Hn
En8fdGfcBDGGAi8ImOd6BKJBFgRRflB8J32JoDStJVm+CtOsqfeUFPtEn0UwkEImVWrGRJQOm9xC
E0/DPGc49IF2hiuzCoytOYXv1qCQbp0773jyDFyGQebZJX9GRi0zqb6DY8tJfgwDKNUOZg1SKjKx
QmUMNRMx4ItqU2cKQEUERnCEr2pVUZkrIF7WpkjdYQELV1yE+bPmLE6BuQgOZa2kV8aCVkxHTW6p
WN8Seza3eqoHuAx7Y9sUbeSpDYFsCZIFzzC79CpRoWZUkpyFsmdyDLrScxSCugJHfwvB6u4YJPBY
wMGDjWQQA1IE9kq1lJcyITrOmtPO1WRBVVPX7/bg+9uSZmNlZ3GPHbAmeijFNrYtiqw5SNIb10IJ
4xNfMxVVYRWHZOjdqIvhqpP1jH5ymK6l9Fn6yCLzmiWXrBgy0Ou14ayGjp18Ptd8mY7+lOasjIMq
5myuqUb85ZQuyB1etSVc5w7f/5YklOoaUAc1VjC013bEAHmetIqbdQKigYch3cyqHL2mLwhQMMbS
GzW7Wy7QyvPHPNlp7LpdxGDZ7vex+fXY/J+6qoui+X//Pw/e0rfmX4aHP4irljxVpFWGwSn5J7/3
29mJKUxiFUM6BdoJchLTgm8KSOMPqEpwF1BP6Q6I8h8UkOJDHMmxagppYwv7Jervspv8UQBpI6XE
V80uCzs1CSB/213GDrqlIZfxZZd5s2mTYLc1qscf7pN/W5B+KIj//rdgizAZlaLiIpfo5/O58iNi
x2czvmyLOErBlqo5Q3LGH66v06THelPj4xHahR04OXT6MHbT2T/2mL1vEOJcpxHJamYYXQyq2q1V
TTFdzengvmiR6qpBuB9YiHV9eIp6jM+ddqHOwzWt6Kmai+NY62d0nQc1RrWV9bDToOTKjb0cL2RQ
T6tIyC/aCPHGSiBvxjQWYCW79wjNJbxVi96brGpJGhcfjyJKriZygKzDoMzZ1h9Ge90qDSBAKfCE
dTO3RkI95dbCePB1aW/t1NQ/i4wYIgXuwTZSk9Dywq4qaW0mrNNFoQERccjL2QWS2Iu9psMyX/W6
c2lNzTRubZI7WJU4Ybhq9VJ3HmZRWeCjRLqtldkyt1oxAFzBPsulW7mdmbWTT0SNqZydSignPj+6
BDY4yUKhKdjhOQXIV3RpNZcAYle2Z5irUyM5dLiznCv+vkb/jLrFbo5iKvqCa1S/KRBaj1ehBkWw
YnIEWdSyD5CKgk9Yc4zHHn8ztP4Jb0Gbd8aexaVJPLpYBF0ONzJDiaGR98wUyFdCOeoR+8PEoxxD
DNfQUKsgmPa9MPtL2XW21/Izv4Ae3Dw3+KbHiQ5hGh2UNRVDB9zQHmpjhswkRd6AnTrEKp2iLDR5
g2MNY3tMmI4z0QIUZYaTMDHWfaGh6o0e0RP1F/zq+rVFR+TVQKnXDfJgNoBjdLAIkPRwJM/btk01
N5csk5qwF6zrqmZr6f1uMNDthKNoroMyps1VstP/sXcezZFbaRb9KxOzhwLeLGaTSG+YmUyaIjcI
uoL3Hr9+ziu1WiRVYoX22qgVXSqCyIR573733hNmyQGsRrZMq/Cs58bGZtGMlzBZ5yHkRV+TT7XT
XxrF6m6pzbG/09U1q+Ham/1gfs/Ddm7gA4q9UrmRpXbpmw3oxjxeOBINqzZOrQF/UW0Wr3XdvGVh
9TZG4x1a9rzSui2esiUPEJJA00of5MNod3PNadZwmvcTVVR+1T3LRnsoU2mZ9ArvH4x57fhClSDv
rRdPbpV5byYab3EAc7HRPRhm+JxMpr4wa8ZfTcfORuqnvZqqWF/Ug1m0VK3GDwVfX91oyTyzLRpe
zSXgwHUrTw+DVy/8FLJnKZczDaIPDL9M3kQGBYgKQWzDsk6c47XRkgEa2KDMw8qDzNHJ4SHQ8dsE
nnpukqw+9GWz89WBi5k22aRkL83GiKssZZPKTSTnFgAn9CNYQHah7VH97nGsuLFhXVrVP2dlsSdS
ii3Q2adtdw6ccJuomPkgGLNaIvw9xsosIuvtthWJc7+Sr2Ipfsxj5ZEAwzas412e2Fuat89Tr8wT
MCZ5khyYO7tlUo67ybJYi7FIsIHylLG1bhHSnAp3FC6d2Yh9yM6ncVNOWbYFK/Wajp5FA3KWzEef
AmJEnHhVOghlNe1P0yiVy6+fvD8JpSGVy3TEUwNIhIv//fjkDUYFXqiZhFd5GauLLnFGepnGeJ4C
fNo3qdbPrQ7GTh6krJqmN6Uo63NZxvKNPdnJLB+G61Z0dA/ePHase3loVmVgfs/iyCc+TwkZUFMY
tKO8zCeu6cQLYbkYNVF1G7wT4s/csps1IIxn4GCty1D8TiUot6AMCQaljP8swSRVuvWwUQpk0cbL
VoC2Vyo0zETNV3VqvY5JeqETb9sCiZnqZFu2dFEWOfZP1Vk1/Qj3YAzX6hAYbg3D0/QAKAR6tPLh
jM9rub7WxxYpKTC3ckDdLz1zMv14tD5E1XAbhZ0+c0yMh+qoHnUkErc0gVkPYXzoiukqgGYd98bK
oLwL52G58X7UPNgUk2P6W5IQXRh+sU98eDxWRjFH0u+SNl3zXqO5oUCyzcd6mUfVEbPbNZEeuuMp
DZibmUSLfcFir6pOoYZvLZ0QQKsqutVHnWTaED45srULaQeZDVygdjUt47gUPCIc9SlxZ+UBZ+I8
1SiQd/Q1U4ADUv5r7lh7uZQ7sm3Sq6eY06xQ8SS05IvjJFU2UiGeZc0+tMxvqpzQCDGCrJLihzFV
FTeiLYH4t3/UJojdtNkK3Fxkr0EatXc5av2O8Vl1SFjJbr6+VBmvfl6IkJ1nXophnEI0UWT5PokR
0S1L3DsFDdSGcy3aVmo7+/oIH+ek/EjNYptIMtMg62mjSHw8gmaSwbTpcrlKzGgmmcewDddhcU2p
DFcCDhazXDrR4utjsgH9cF5/Pao473cJk7ZAzNQ1STrQ6H8hPqrNRv6Ft+I3dndAE5iForUZ9zDR
N10LBrEbqI1NMrrIZTXM3ayavuWStQ8bXXapIcSl2yvPdqBb6MnRrWmn/dyPx52V6A8Ulw9bJcEZ
z9WU5QwrrGxhFxII94KSNCsbx007WNpznkXNkiYSbRGG4UvCtbooZTOY8wQe0T9N2WVLfWn1ZFrx
PLxt/U7dpD5Nm2PzSo33mpfSTV1VS7Pua1SvaK3JgbSIZFYoSZ9hTp9a2S0Z48yr3mALFQ7XapAR
6sQuWmq+ibeDWry6+17WCKt1EW4qXVqPvX4zTNE9To+t0eQUu4ii29DTiKY3IdplS7PIFOFyBQE5
eupcS2T697yYp6x838kj/3GUHuxgWGUVcyVv4grGydH4GNPZW+cRXuUC2Py8SrxDITrCDYtCE6yD
tj9cyNOwgCukm7ahMUTTGtmdrGYlYSCeKW3+ZPolvT/puSTmUxF9Q9zddgZkmc7QUEptnojU/WRj
sB48xNiuaq8Kk3ckKMYN+7o3u5TBPEDFLg195Rf63uqT3yWsvy3Q+tG1+udC+69X26f5I3XpVqcS
sTtE++zkX0nLclfe9atpY6zNvc2rx31R+5mxVQ7ZY/8rH6RQWf56cEb9uCRUQlviBnx3qZPzsbOY
DuJDMTdm2V51iyW5PmUn3VtLeSHfHiV3f98tiDp0T/wjuRr38mwbLr0r4V/+xW/zcWPz+yehySwv
SYSzjfpsqRvR2bFzRMFVIJ/o1WYadl91v299//bj/vjM+usxRG7l3QnjwKMgJkgCXq5vfrV2xvPX
T4+fnoPFnNsSOhoS18efnw4mAIGw5OUtnUqyCZXBmvP3J9S/lQMKl+ffq56Hp9e36idmA/G33qme
XECk+hWEe2Hvead6yr8R9mfvzo6N4gzhQ/hj5279ZrGXphqeVw2+nPeqJ65RDDp4E8g7YhVmU/8P
VE/dFJfXn/cb4UWbmhn6kEla0TZoi1/i/eVHs9lYq43iHz0nZTsLv6WphaMNbJ3WJPdFjK9+YJ47
AbazBOEuS31e3e1aBn2nCwZe7xg8GXsqBqxkN9AzMJuciNbfDnWU0ZB4XtMRRtOmDV5PFpw9L3SY
tIbFi9IW2A3t9qppCeoq3YMJpE+BzWCovL9CP3g0nWQusXm441UurzNWb37ae67lGcAuGiVftoAA
81BCPlPUB8Y+2bwUtMCauPC8l0x9CVv4e9fXb4Qk4XQJyqCdM7Zkl3XJ4+AMhfEJE+qdJGr0HcEo
zA12dDFNUYbgF7ZwwvATBnA/rPzZBnIYADtMDRlQYc8ptoKEWBfKSQKNGCX+IQeVGAlmYlQZdNGH
Kp7G6CRn2jALw6RhdNUMbsLqYkWOkTBO3b8A/aP/hZH4LA5sJDgyIfNEjm66bjxhXmLCK1O3UGtw
KOgsvtTgHtNUOYNxqUDIgFCVQEIGoCGDZoBKFMhAOQLqrcFH+koRsUMjt4PRCAxJa4DOCWvYKGDp
b+ENEw3JDeBLjRW5viBU4i2OlrDHX5GHx63fBQpAOoyetWBbar0tLQpwl2ZJd5aO12JsPe88CiZm
QJvxcvR5mzpJSiOpYGdmgqKZm9IqF223ocUitnwcCXuual8TanjA5tS3oLqB5aQgngQs0ExInR68
z5KKXzLcoJHSF8aoYEMF4ZPqm3SRCOrnAP4zsfqN6VfFIYwZz/NDxzmdPcsopHyMkMki9JRm0Qmi
qKqW12z8iEmp3TCPBHfUbjG8yYJFWqnAjfx2emkrWYND2NLCJtilUQzFlD42ax1GkE2n0T5YKakZ
ezDfqgKGfOUoV1lPZJCmOLzQejTM/S6EtOmjSymSeckAqXaCqBqyh8KdYiXrph4Y5fr9Bd9JvfHY
9Vk6TNY+xTsX+5k9lwWxtQTd6gmGKz1l+hrKwIMTqc/sdlaW4L2qQ32Q4F7xOds0BQOFnYLyeXR0
QWSxSgsbsWOe4SI1+laZ0NRYoAu2ylCNDKZ70LjB/UDwaqnGdo540jI/pPZs1BrtZPXpQy+oLZ5N
NMITJJfSGO8G9tvsjKC8YGKh3AjuSy4IMCSAcJjDhOmBwyAR0UcieDEKOJUdMZtyVgqaDBy9mwm8
TGUW+1bwZto8+x425UXVgk2m2rvOpmADQM0EqEZl4xxIwUEWBJt8RNTWE+SgtNKv5dzsgBZDvCFx
tLMFA4fN4IZaa6g4Mb+4469JOe0YEHw3wecQsxSPJn2Re+m4zaXxSRWLvFIBHlMODV7YsTO34dRA
0PEHzEeR1TT3gJe6fDkEhQ6ySqryi0ZbwB1b2R5lQoXsZ8p1V60JABmPfpwb26YuEv+U+InPcLWU
9EfPN1XvEBlhvEqduJm3jnevoEzgulC5NDwxfRbecz2HO9gLP3rPdbcwhEedq/Ch1dv1RBcLLh5z
HQg/uyWc7Uy/wfdidrcJywwZvmkqVCcXh/IpMX2W2cIjnxYhjyf8GIsWA71fWefKlLEx98ZyDOti
TdF84lrY7tF40BO6u1L48bmLVzYGfVoiiXNh2Xf0cNfGo+EWhfxEBo8K4QwsOJ5NpVdwITdevS6B
iHGtiTCArOIDoVAfhxjYdKZF8SYTMMxay56svMOgoOJ4sSBmhnH0rELQzKMBIpW6zEqcHROMTcoB
uQ8FdtOCvykP+wzdMI3XtoFCNK3Yba2kzj76At3ZwfA0YXlOuEo8Afe0oHwqLNhmigB/Jl2pMXfp
L6mAggYCD1oJUGgmkKEgl9NZpIZk2sm9j3BFtU5W3LRn7qGa5XUYGUzfKmvvYVHPBZaUsjDUZuqa
y0C90gOQWYYPsLeqKIGHahqbOUGk8kqCL+nmsnkf2d1L1ANC7TFU9AKNyp5s5xXTvVHazGTCI36R
1FWhqRYCq4qVZhk6MlxXG3g0pYzQWX2sQDlpJ2obMy3EWsMuOxuTOUGiCyAxWHBQXM2Onr9egF01
u9lFAvWaCuhrNg5LGmG2usDBtmGA1w1CLGwEns+aQk0BMU0pvMCFeSpba6MyFYqhjnSgZmONr1oG
p1IJCq0FjjZV/LfIcdYGmNpc4k89wLVNB8ISkG2q/ptC+t//lAOynflqPQn44CeDIP7SH8vJr1P2
P2r5TIOskXCY/7mcpEJXlSl60TF4izkNi8A/bOTgJBUdrhGNUyYgIv7oHywnyTl/Xk7iVGfKrzNI
57fgB35cTsJBM8A+y9NRS4O7UmO9kyBVQDzFCaZM6dIuzZXCRWSMMP4G544Wc38mtzgtU8e8iWz9
oOXNhiTrgkZ2r55bVkrffoi6epvkDh2Cqnz2pazaNDwIYY4nkfSsJkQAZ5kiUnnWj4Se8SOsJ2J7
tQjwpSLKJ4tQX96al17E/OxuPDoGBYODSAAGOAZLMoEj2UAq2G81lkQzWcQG5Yr1BTnCILS3xHwI
3dQv1UTCXAQO/Ui+Lkgg8li4U7uaSGLDneWRUuyKCgaHl30fRYAxIMnoiUijKsKNhjocG9KOZcJi
wfgRgCQJWYpIZCMjYTskJX2ZyCQrOfCGVD7SeCeRseyHXHIDUpdKax01UpgtacyJ3AftIxaRYIKa
itrtqq64D0SCU7egeiTaOc7rRWNQkx9SaFeR+myqftmJGKjikQor8u+qrCA1hNdOK1akWrov/HSj
pONdTKJUyrvvcsWSVJZGy1U1QrkTQZmZJMUN/bzxuqwlGBCB6YL6VeeeikJhsI0/qngFmCyTZu6a
Hs5A3ruNQD3lEUOXFH/Awo7jyc2GQnFN2XoJRjpSNWVcNV4kk5FicmKrPLG0NU7Jo5fQj6WhLdHg
WJUFHgazTVfEadhQgNLeaE3l1rVxIAzFAifH9xtk3VKXveeYynuqeqWZjr03yoYn38wpYuVdRCMB
Yjz+2z7oTFpVpCe5gj5TdbgzFRpnldp5I+RmHxi7dgtbrtul2gbmPuk1MBNZdSEBpl+pTZrvFAqP
sfs60Xyq2nUA2xNWBLDBpLPmNqt1vFdgkxOu/6uWQaQl6RtqXO8Y0K7lVr3rO5yKflDL86ZWFbQM
NdpjHmF5h5F9ERiExuh3wJg8QBCHwOKtRkWRr4pBU89QUVifYu9y9AL9y9+mMTi+oVSfkDWMOSVt
4ZGmjR4ztb4c7XTZNnXPECVMXKPPnsc6X6pdiLMKoBcR24Uf8H1GyZgcqebAupmu3j3UfjLK/aRI
iCYOnjY079DXwyaX2fOHLWehDfC7JEc5JultrL8a2IZ/JQT/5BDUXhGokXEaQSD4JHqMhT/UGFP1
I9bYNj6NxU3m7H+cxb+ah/blO+rylP3P4al5+0mLrfiL795T1CWSJTItXjqUjr+TPdTfDJWaMIPk
K54GmVfIO9kDoyivEMPEUPDBsGD9Bg0BZRz1/Z9jij9qbogeIlWBhEIFJFFrnm4fr8C67VuEZSLf
cn6qfB1HlzX/+hrn/N7JKiiFMhe3yZE4Q5X7Ssic71Q9vF6x1tJRe6z1aBtamB953Zxrqq+9EwGI
WvldgftbFfFHx9uXRxS/0bsjqpRfh7TEt8eoINFpj5Raz7i16QPM/bw+91Vub7uGehczNjwGwfSM
0NpUeoNnLJq0AYTnZ+bjoDrqhlW1GFWDY1fqXJtpdrA38uSOpzHUwUp+7aT4O2a5b9mUnnLWoDMr
B0ZDBeRIYiwxZhoO00WVIMqkfuiv9dikQJu+RsOwtKVfhPnKI8DvkoWIZlbVarNsItHiqeFF6uGo
tuG13XU4iDUacULm7KXHt4RPLPVsbAM9LJSRCYjZnz1CW/RUaGvsD6cuIIVrm5sMtvOM2eKO9YIo
VrmtJGxiXfbYTdppsIJ1Z001/Vf1inHISi/sLVibYRaYeb+UiqpesSM/5PTEXSxaBIRgOtbZJWdk
uTZLHowEatclqlBzngqd/6NNK8zIia/vG1kRYdaJkou6meZpq5XPFHjuTbM/oFrsCyvcDHFPTNa7
kuT4apzMeyXB6F9KGEJI6C1ps38h2f2aYDlb9IZ+GAodxpY27+Ji3/C2bttxg4n/JGPVyLwSu/W4
78dh39pgh5oJm4Jv9Lu6k++ZcC4AQvq47qZbYNk0B6djfBW22SmLmxUtIlfxFG9louEMLLAuxCwL
WAXhz627GLs6XggKYW7LZoQ1T4n4Uk2LdtO2fbNKoP2cRYHzPhlzY0kL0C5JXx2pP+qBfV23FXuw
IGlmQVAtmTNuvSQ8gWa89F0GkYWvBcLtwg4d9mfNK52dcEHM6Kz6/cJp05a5N53EqjmnjvMMqCRg
uNOR7dBXfdUtqZGZUwoySxUZ+SGnrEE/pV6JDjnQdtEkcXc9jMG16Smbqm/ndmF/IwjlDpZR3RQi
sEgd/vdM67iaHPQsYiyTl9C0qVMs2r3JLK8yYhalrgA0sJwNQ0t2VkDeTAmaleefCPgedKZVpZGu
BtlYIDm67eDROpyvK1SWemrmRi1dOY4zV3tpw4PiPNp+g+oJH0DTvWXpaHc6+0aVO8QtxUIyM5Jx
zYQ42VRJtixCv51po7SN6+mGBlUyj0lzFSJCRAiOUdRxWXsRupStQvOMniLLPuSsJme0wMZuXwMU
9eo+dQ2vs38fVvz70lN5BXyxMXvLqOcMs5+89MRffPfSo+9K48Xye2cZf/SHS0/Vf2MMYNNhSIew
jufuvy890oMyKxS2SyzGeKxrvCr+2JzR987oSf4PefEfbMwMU7xw/tT5xQtJhAnR+nm50oP2eXBt
JY1vYxSWjgr58bYJUXX16c3r8VvFRkKrEvVKeGuW1Y/CJdie1bUjWphUq5NoZLJEO5P/o6jJUUYQ
p7VS3SMPUuRkSHZDN7eXUioL9zMC0DqrVXta+XXPv7H5XIFkoZSv6u0VKeGBsJ7kLCtF/ZbRyPbi
lwm3gToUyzywyKDRrkbsgfV4k/PfapQoztpYrR4LnFIELYiATCCFtn1mbaOo0mY9tmZwuYyAW2nV
qu0zmEao01T4zljeYyIWS3dpPIx+7iCNGIvA0bsrO5OpSKhIKdKOqq2qceQ2Y4uIbMZUFjgSdyBY
MxvP9Uz1qmIxYXMhwVefojrjjTU2yUNnG+NFUaCUE5mjWuEKykMwZ398BpsAzUJVDvA72IT14ZH4
2Esd9kuTNzPKPA9HuzOIr9gDbhKKiLcZhbwzQwsH6g1qeVEbpSY8gzyT7UHO+czwrfG1SEeQh+PM
8B1MhrnmNiHdEXptIOjkw3myI2uV1Xp8Hjr5mBdBsHZiyXc9RoDAdKcpXErSPPPgh2VA+aKo56Hl
wVKZVEtw7QadnifbknjiB2SlZySqvQvVCcWq+wF95cLONlnVdau0zsOtZ0r2IdTp3p81jneIwZrZ
2UEpW++stAHZI8B3QWY++RVek57KZDCEzkOsNP7Ca4rvMu1tLoHSfSII93Y0HhP0bQiS6fdgMuYM
+Sk+SlG0U0u3aHGwqQDKYoxknbmpOkq/VIOtYxeNF2ph+ZrSdKUH/MOpEFgHowV5P4q6zLAten4B
Gpu8cFZ1vaofOqOQtqNmuUqOH/xk/CCBVgjDPKMHSuDUmt56cDfNnmg2Ux4utCOmaHNZlUa5M3V6
OqQ8Z6whGlPsqV3BRXgUe71GZt86SkO97UnoQVrxFVDinn0VU0khpc6rKtUwnNNz3pI6krRDXVi4
VFSpuBqlcNyooveSlOZaMtgzp+xvb+TI8xa2/dZIwy5MsPPo1n4McgooomBVDuPCRLzlnI/2mO0N
UCRTJ+0MJdynAdJf2BreIbNR81Oz0Ejz+RfqXXwAprxtom4dl3xJdmBti57lmBRZ3oyRwJPf9tyB
ZngcupySrIyFkNR0KR3SpauYycZpjIVdVU9phREdrxuR0O+mBRq9SZcV7aTEkly5Y2vpq4gk7DeD
ItpYsBqcHgiJQmA0aHB1oI7e2gmljHp7S50XFb2xk5sMIx1z69nT96JUro2p3VhQ8LQ0XZgNdGo5
GHbw2l1yGE+Bqa3MqlvU8JVoOrRPdZxd27n66sTcw2mivTXOeK2TXZunZXEYy4nCfp1MqOZiRwpd
HQ8Xviu3m+QC61n6ghX+BqYPdo042lRtcJry4ZgS8oOOQiNhvrbS3OVBGruJIZ/TbLgay9FVcehl
XjsHRjOjQmEFYXENBMtNC9Ck9bCUDOFsY3Vn2q2bSMVaApkcB+BbivyY0Xq3yOR8RYEg6+jWP6lN
QhmJvx5ke57m0p5J4JIVNEqtCvF+cEtuEUI2rlcpc7Q9MDfJW5W85V57PWD7jWx5PTKhJAr3zWAW
VE+wG3SOgUaie+qR6eOlbsyl3hnI2MO1Pjg3SURJmJPQ6Zf38irVK9fxICEBhSSGIC9tJ/0+4iLg
CbdkVEp2zJ6bNtlZvw42iDbrYaq+yUqznQz7YprFNzuor/1uPLfpazYWb6UM9I8gxszSwiW97Mua
0rKYvVcASdHXgjMZ8UPeadeqxwhYIlJXyTOZ1vlClteS063tmrxdkFwiI983hnJb8ZtacBJnplEs
PAnsg9wuuRWvasdeKlq9pRWNA5YLv+ADG7J6npdeBlBEfenb/Bs/itkwvQ1jrRfwzun5JAjrAih5
qrMa5UnaUfa+mSQLg7VFAU8Vs3TlJREUXukyD0ZBMi0y3d192maPTekRjbE2jPXJlujEaptqnUEx
koc0p5aaKG7Ufesr+T6vouucGJ4osAs9QF40yfhZs7Yag6vToqmiO9PcuytwEXZSe0lCa20P3tET
RHc93YIEI7iMAyhroVVSHEcXPFODflb09jmqnL2mDA+FiTu0QoijVe7Wq8xzXdXHrDauwXHLM0Ah
lxbZpSuY1VWT6EVL9onhg60o5VnPELsSD6op/zbGDVk6Y1XQdNMiSUbwgupeLHoyZhnZbVWMW0XN
d5KqB0fJQ2wjK5VcarIj7qQ224pp8NTTV9jEvHiiV0aCt1GTMm7ACjlzrOZBx2itUpYR5f4iDpVX
M0XkaspvcRVswD0eed6S0aliVON6R/SX+zKxYneSlYfAqIulo8U3adXAbxniFaWrpyi2KQeg74AO
HG1JXGHtxabbq1K6CKfc7UgJWFTXucqoCs78wgiyE5PNVeQN2yEbXwsJV3kdPTWVwdyf8WPq0WUY
dRZ7L39RBVLmMn9lt9S6acJLYnCydSfZrx3lBRBQVn5nLUnNLxDveP7UjML8YaKIMduNjb+rGuMG
g4HIAEOSp3+8gTAlBb20zdhHFzLDHaqbKiUn6t4cJql/qKvihd0dJlmqYr1kOHQ6ymUq8/p7t6Q9
/b4W/J+sZUsOfKD+v//9q2ZGSa+iIthownf12ezU9FVVtWEmHeWUaXc8y+Nr+jN/4Z8UDszPy1Cs
XWiTaD+29qPE7J1KgVFDNvHKSMfBfq6YGLcPQ/7d1+Ypka+vT+dnC973R/rkBc29fFQg9klHFZS3
TjOjBYJ72uTmXdQ+hrn5C9fcTz897iayKVjCMEl8kl8YgNtekvunTnps2l3pv2TJyz8/I1bLLJY5
jIa29vEQnmkN9I0WwQnedNSv2nFcJAGqiL8KGTKozS/ArT85I8oj2LSgZKGimmLU8+6rEqYJdZSb
8ET30SzUyJD5qyL+xTl9VOJ+bEs+HET8+buD1J7UGKbHQaKKet1qHznBL5S4X52G+PN3R+iaqemq
jCNgEjHxQMf5jYfh5Ouv5q9yHxftu8/q01dTxGNcdGkdngZJm+Ehd8ITPRo84B4MzOT1USVd/vUR
f3ZamJWQLw0TM/JnW18c0lmRRUp4sspzKfsuLbeW9/2fH4PorambGucG5ubjR+cZGoUHXRXROxzQ
Hji3styl7uTrg/zso4Otg0aqKdSxOJ8OQiuqZYUhUO6qeMjMfcBOMeJh4HiXqN3puEd67/z1EcU1
9ekZxCPuzyN++rJwS5OuUEZMWcyEqGDSWEB9fQTl47cj4siGYhFYVonmmdyvnx4+oPrIxQ5Keor2
jCo3vDwPuWssjHNwbbjQ6ZfQppdfH/PjIX+/k96f1adDYrdLB6Ke0akzsVPT9KbSI6DmvwtAf6sz
//yzo+NZ5s1pmAL8+v5uMifqLxs84ycKX10V/w1wy6/PQ3z6n78dzJJcbShkFnOpj0coqBnDkki3
ncXWd7RVVpuPIcU+fhT94lx+9om9P9KnBxw74ryihCk6KcZbYJ8N71JOv3i8/fwQdLopDvFM0uof
TyZEUrT1yY9PWXY08DEPoTpTW/MXr7qf3UJcbP89yqevPq66oBl9jhLGL4lEbERaVPrSiFs3bk5S
vEqMX3xHfzktIvKWxRgPlwFTHv1T1Sg0NKtIrTw5Nd2qrB57c1FO119fBn+50D4dAi3t/YWWdT4f
aEAJVk/hiCJBjoiMX3xsPz+EMNgyWXLQ2T4eIhqGVErYaZ3q5EWaNibtkV+fw18uZc4B7CKjToE2
xkX+8QA8Oq1eEUMS1nlpi0s22oQEHzPn7cdx/lVlVS68L1TZPGveyCn+1TEj/t5/RVna2ZgZWlQW
8NDSBBnzv6IscCRgEJbMmPI/3RJ/TCLN3xwq4titIcha/LQ/FNkfrYsOLw/dUplScqB/oMpahnjE
/PmwYzyI1YriOHzcjKoV+h8/XiFpATdyVGzzKtWmbgm9RZ/nsvVgUQqYW+097rDbeDp7ojGqVBYq
FYJt4996olMQ8UqjTCeel9QNmvuI6kGtj29T0UWoiFbCkXpCs0FMxRKwKSgulH3om0Wbo/NWHj1G
DDYYjT5Kou9QEc2HoJH7RSTaECdqEfuwMte0A22znlVmpAX3KVtvMLoPE9vzpLArtw/LpzGKz06g
PVWm8m3oaO5CojlgDcvdMYihuZTRjqGVPzPSvLsfZfsxxPy2ywrFWyi9AU6piG7jNnmUR2va6Cka
Cy0LyKTTeirVx65Or5ysogDNujjVCujwonRI9cAOvm2D8MEOpXUv5/d1JflbSy3mTq27adbB2SRO
mIxXwxhe6e2EYlIJ43nwmhfN0W8yXKlmf+WEvTbLQ3Wj50uE61kwou2oFxHSQcJq4odSDcoZv+JK
9KvNGqWbJzrCQ2PQgxBHKptr3ZvlRl2vO9PJXK/X2EhKezPNe0ACVkdWp130eYQEZu7xYE5LndGh
2yUJ0O3ktWLrN2/UmkLZSl5V5hS4RteeRttZgyoxZ7LXZasgQ8QK0XmTjOMlaC8GVX6OVT3L0xiS
TmTVZE/znE3rYHq0mbX4xBt44IVzlTLENSOqJDDR7ns/IFBpzelpwuavI4klMhOrLKBw2EfmYsbG
bCmJiQ4mFszAMITGEVoFF1sIEKBJsYQ21hPSKX1FuFnaGgUKV5AQ/s+9ZdaupbDcLbWXUY1KVy+j
60xJo3nANycV2q2Bu7JMIYDyorT3JWX7iZ0fimh4pFb9LqjrZ/JUOFP60ZtPpoldHRISPYGYLeOo
2XRjk887wu7UvQm7qOW4YZCePQzcbtwNaxBi+bLysVJPo9nP4nyjqWGEnxdlEodOXhRHHfJLbMor
Q0nQ5hD5iLShqCXaBRzKI00Au0bpD/mEaxUFf4v1eS+nOUNARpSJXGzszn6OQKI6gY99X6W1za5v
+jq8MHO/ZVO5kbN825LTgqa4iWX/KMnZY1Ynt2Zc8qFO/V7Xqp3W5oe2wz2FMnVO0m41eBT5MXXM
pn5dOPlGEa9vmvQR27a+jjBZjdquSKCQ1PJJDvRk2U7V3PObb73FqL7Wp2VYgfZrKWYbJ2tbOeq1
ERa7OOyYvo8tZ5i2m6gjnCpXB7+wkBw7xhHwTRhwXOq8vvezcgdG8tAGOkCO8TqTE0bC3PRxEix5
Nd77sbUy/JxexdDeYOYGMQLQILSag5Y5gnKi0RPtb4D5nFOp84AIlG7QVpvOkb/JAyk1W05gYajt
dR8Y+5ZimhnJ54DZf/qN0uq11XZuMTZzQFQSo83soCXm42Q7q16iLdrpl0nYPWR4q2pD/j7VjEhD
mqKn2vsWyizEZ9ZEKdy1GmJIh76aqEs7hzUyDpq2ZfZORt9MdpBO9roTb+iPBUNCc2IQBEe9S3ae
P/YzJKhDT0/eInSy5y5siLpVCYN6Z1XmzlVFXtm1+2GZlrKyCA3lLlTa/UBpgRZLOOmiyyS+Qs02
nguoiHnt43fud4ov3Q9yd9QU5UqOMSKbFqmBsX9SJWyIYeEjQZfwLBu+i0oxllnrh6vShieuaYfR
SRsUomod59EKglEPGUK5Q1felsy6g4DEQS2du9BUXFW/sfyWKOb0HCXWZaLseZ8ZZbGRfe+6SLOD
JDyRHuAffTIelcJcwSUG5tIb66ghpt9Xg7qOB5172X+LR+I37Pbk3WiNe0XBoq0ohbGkEXJllUaF
nS4oXGE5mZm+vK7T9lvdh5cym/Zj6994Vb3OpAnYSW/fZYDUOecbf0zumzLoNoN+imMEP7lz1cik
nyYdVoaeH/vGvwnlqZ7bZreWSI02k72pahPqprKufIePRjlK8FFnAbJy16oX6n1BsODHmNuVKDVX
+vP/s3cm221ca5Z+lXqB8DrRxxnUBECgIUiCvUhNYpEiGX3fx9PXd2jLlmRZuZyrhh7kIO+9FAgQ
cZr97/3tynQu2oz93gexbWR+P9bxg53HHYu/4x6NgglQ7mXDNqopVqkZccXewNO5wJekLtVpeEsA
wPfNNO/csJBXkB7wGnRD4S9aTMB7qAFGDMO0Gvr8ZcDEbzlFsmWHYdLlmTrtZQrRHQKS7/ZBhDd+
UqjHcpDDWZJNFJBq83vRtEwsiZekM1ldM8EuARvco2gi+zSUobERs9MgR3vFVo9aVwM+6BAXzcNz
BifVqSC78JjoLuA1e2m0LVYOrEVjsaDfLkwwx8wibQX4XweWv2SbRdfOGZKekQK/Mjz6fKbEd43l
Ia+Dm7BuKHk2GPCaBYYEr/eBNj4Go50oldRv9JagZTrBZwygDnXdy5AAOEq9JyswL4aRiV0VY3QZ
tl1gIxK1WCzEvPHc6JmV9QE68p4R80nY1PUk5pGkAkjzCEE3NkuqnWFJL/bRjfML4C7m2qHOKKEF
VsMyQowZxMTM2MdpglMi7E0G7LBr0xjTyHKoQufcnuK93gCgSKtDLkmkliLdxC7GWCcxr+WY33b4
iodyJuBeFHcFqWKwoulRxONBCO0CVPeao9DOmOpDhxlESykGd+sjMahPjmVCu9PPGpOd1vQgaFRf
ggSwVxpeTwEnhZmpwxJEftPGa7vu3mj0Oqe7Zt3ypZsgpPQy++KYlNC09GOXIr5pAOE6RryWuFpW
Zk6mYxK3baopcJ6mUcgDMs8NfSLs22AIN1J5YHvZbrtE3+e98chFcp0l+rS1Naa3tA1wtKhXUENq
Vvf0ka4cygTgW460JciUu2YfZgT1kwf4UTvTW67EAFsm7fS7eaTKIKk+lbojGKoRz9eG+DVoymGN
g6QHzW9ejra4DELz8yQot+LS4lvABBNYrTIWchuGcHXS5a2a7cuu0nnHI5NSx+DLEpajTcbNHTlL
VbofzI53KvXyrLB6HwwG7baduM4s7TzrsMhqobltW8bNgR3pq6ZFeo5m58kemelKVhoU+ul8mjwG
a2P5aaLmsNKcJ8OgdruK60fBsAT4Vr9N2wHUccu79gJ9L9XSUzP+G0oZ7cMmw8pTpRcVE9g01JaT
BqCUEvt6YzCa29RNTq/tBPVrBuFr8f/NQMX1ob4N46nageY6jC5zOSjIsFDUrm1bj5POg5ZQCbBp
JqZk1N5c6ml8mWLAsRIrOrjR0p5XTF7wz5qfcC2EZ2MTXMs2e2Kabu3V4w4IBp2rYDfnBm8+eVF3
W1TWtT5O8bk0C3iI1SGsxJ1B4mcpbcE4D+CuKDciT8/rUEA3tJpVaOfvvVdiYTINPzS9u7SjLYYc
VTo4nDNpGWuN7nHW6xs5AeIsKvcy0cPL3E22mWvNRxzFD3Umn6zJvEHdLo+2mRTkhhxcwZ31tOTy
ICGLUOweF7ti4B/Wap1WsbjbVJQi7cHWYr3AyUF+0MqFeTvpicE1omk0ywflYxnJOjUdzTf0OFiS
f6dEWFzqHOkQFGePx0AjfrhAGbEQk2EUMa5HLtbFRbtMK2ndfnOtvPr9PvbtZOSHe/wfLwJ/CMsy
4zhX3eK+kZDTAPqT1rYx1F+qry8EYDvNuuvGu1+/zA96xO8v48L5srCNqizu9y8TCCG5BQgO7sb7
WN5r5v8w4PnJv+8ynBAGZjY+rh8/q5YazrJ08uxUjHzR9l7w/K9/fzLmBp8QH5TyLX3/+4cupCXT
rvOTx73DvrL/cFz/o/b4w0Tnb5/PD39roD56pLGUnohr4ZxL9W3jbizIJm9Zsvn1W/nJSwE1A6wA
8h2dU/7wp8i8EPjXUqYnkeyZtlH3WJEwttZsw0Quf/1a6tf+SwMAAIDM+e2fBbXh22+X0ON8cClK
PFW0BbSc6NY8Wqyp87D99Qv97E19+0I/vKnCTSRDqt9fyCS0B6gi2rKPqK24+h++a+qX/vFNSTXl
UyAW0u1KsvzmkTHtwijZeItTa26D7HmYfDv48uu387Ov8zcv8ePXbWnplATPU5wK7zkJniztf/F1
VhEm2rORo6l9+v4tJHVmdxZg9lPCCmgSQ57/F4sXwRHhqAIow4R38f0rFFrB+d7Ry9PiPo/uZc+w
WXT/w9r1sz86X2Lad+hXZUb1g45KbJo6Cm/JT/gXcFKRFdbt66GhNnRDjOnXf5GfvJYneBuG7lJf
gP70/fuJAk+YMrELWug5k/iAZyJIUfWq5Ix18/FS/0meanD8z5Ln5XPFt/iNcWU3H17/7x+pQvUz
f8qdBg0W9GGjzzN8Ymz3jdxpAJF0sMAj2//R0PtV7qSGF7nC5JIukSEd1W32VfH0foO3qKotTBuX
qnC9f6N4mkItMn8tDCieSlNlFcIFiYWbHND335GmbnPLBi9zqqoWLwdHjFUjYchW9nyvJzXme3qh
Rr3eBFX/Ivrgc+xMJAQn69jaQbapU+1eDvVG2POFveCwsPGb0d3SrUQYnxyS93PgUZwR6muu54Zf
42VKJ3kxmvZ5mZc7L5T7PjG4UNAp6QHsXTdhkWB0G28du+y3BPjeNKeAQSsZFQ9WeOE6gHw06K4r
r7b92VCxcQ2DFAhqYY/uujK8B7cyrzj4n2xK11Z9Uwy4cIaMUPC8CyZyurMtr7MkvA05HhY2nq7Z
xhYaZqWgd8p6G8swuViWvnouOl5ntofdojW0BUPFoLdrz6VFbMHhI/lQn4MYEosOC1p11osw9Y0K
E3tvuHKTRvU6zuytrLMXiNcbVemDwtXu+rrBZkJIYzdRgLN1BUjDMd03ReFP5ETWdRttGivTD4Aa
j6bI4jMd/kWA1gsyTFTrIEVRTIHbydG5rfXYIUbWdGuUY96FbKyTl5G7GHuxKhfiDHaLkx15jqiJ
idG06NZtF3xuQ+8u0bBExQQ2rDl445QCCxynkCedfNMi6TKvBHigWda+jALKjNNc3KGFYvSa7AN3
uGljhdUNrWp7jKruOrLxHYZLW6/LuA0Y4AxiBQ+OfslEbmOuA/4SxTMZF5DDdph+aXQuaEOtw/3X
FuNG1rqHNSslXkfeGhJKtNE6XWyHUciU5d7IcbQGxcHpNXsfemKkidNLD5VnbybXAlgCrhUWvpvs
utLO6n3ThmVw64HIONNp+g21klKWIJVni6oBBp17aOgFRq5tWOaNvaVV3Zr132+j3vYHjwP/UJTH
gn7hVvUMT/DYLZqHxTQ8VqqK2Fnih16VE8empKaYvuKhpbjYpcG4p8k4V5XGDd3Giyo5LkvKYkb7
olg8HgntoRupQ7bAaCYGNxcntE4u7XA9zcl2TGselmHKlNN2l9CunKmaZSG7zwsEfUoa7uWECp7T
yBwaVDOjw9JRr9ex31Abuo2jAspcehGFFDOpamch5UVB13OnSp9H2p/jIL4HvFCvQy2MiN2LVzOu
HgYao7UQQHGDqf55oE1a07WnQdVLj513YarCaV1VTzup9ZnJ9rHV3Vd3aY9cvS8XuqpDVVrdlvZp
UjXWRZPvMlVsXbnO0ZyaNRg8QbFKdAOLn+YR2rAN9y7VfGv2jhU12VL1ZQeqObuA1xUPLsTPNCPW
QjO1UTZPldbdJKp3GynrKrLxTDtUcpsj8BUqujXN2S/K4E5YFadrgzmrAe2aUeztSonTNT3FOXN/
i7+6gXVtUF3gab58lqodvMubNcW2SGlg2lR5eEeLeD8uB0mrOK5mkH66Tm6UwvEqTm67zH6RDRbF
foKvXdTuQ6jBHNFVYXlTRtTyRR2thayFK7lk064t4Jn8bgf6b8c1OJD/Ysd9G55ff7bn8lN/7rkq
woF1jmAHxzggzN/suTSDAkfGQWUBJPzomvq650pikFDFXA5MkJf48b/2XMm/Z38UeVJBpf+7ISM9
bn/fcrlO2pJrDJNOfovvt1xYiJVpB/F8iosrc3bZOgLU7qmT99MCyE3MsB2lUZx7S3bjzdbLXGXa
2tUWnVg0mHOIIWLl0mHepvJkCm4Lk+a8AH6/yHr5sCz1PSmqd8yR21pzKiLE7lNW5dXKax1jrY/L
Thj5OV5MXKDBIAkhoC4JWikyrl8M4dIHh7bOrcnNVPUHM34jjkVz1GOa8TWflxcI9AzW6AAZ6/4+
jburRlqXMTrPDnPCbZ5O4ICn8JIuqLNyHKrVrLVH3UOmnMh/51PJe15ooTFXtUd8zYu2KAoBVvFi
W0Tap75CkmNPx8pzybVvu1hAfwvXDXyKGHEMEiFL4npbe+ROzA4SnaW/ljI+tanuAKmv59uF6qx4
CEiLV+16qSf2v8SM2bgt0tuFlkDgtZ/yBXKqMwYu7ByRnbllLDf1SGGXNgUKfU/fyahmiwr9OnMy
GeWyMvX+1sEfjiZoPzQ1k691GDcWwljPpr3q7RIf6eQwmbzXxxFphTxKDRm37gR1BUk3NEw/w4Tt
JgozaxOUTP0oKDlHX/fTdt6JbNov4+D4PeZ54psheTZart0lqNHj9HvLJXZH9OKtSuyLTLRyhZnu
82JxWsMaiMAX9PddUXyO8Z4HNimUjIoUqz3MfQ8vG56UkxR7gA2aH6WVvYIqeCEFzJOUYVYUiU+z
5ZzlFdPF3J6fa92u760cz3huscMPq7EaD70x7aYkCfaxHVDTFQd7nGggdmvzONNxsJIalutZm6fV
knsP2kAWwam17SiNnYgHb6V41V4wHhZJ1ZcoKyrLw2IjBw2cb13t4jhyV8JdrgojoJII/66GP6dp
+ocFJT6zjffS5DNjgX8UHqPvIL3HCv4U5s3VFKUxNYTePi2Wx7ZR9TlltGeA5q4BcvnF1J3lPRxt
egQfB8IOqOrP3Rz7kNiOMok3elw90bPWbQKT0VgqELuzJrtju7iPuNiuqt5q+dXSI2kkv1r0atW5
T7VEeG5656Kp3JslosndhClE2GQnZkIyff/Z9sIbcBhbVy9OGHBPUyUkz9hinMOjgeLkFDS3D5eG
GW7T4jVV1Vkoen47BrsyHhW5y9I3pT1Ts27TgAWWV0Jp5rXbxwX665oW3ec8AHFji7Rbixa2VBYa
K+IJd87CoWEqM2rJGveuKMIjZvKnxYsuMjldm4a242gGuqiWr4GqZ5MUuzluDa805wsYqPzB5AeJ
8WYnVsUDpd/xNX50O8DIelBedjEmdmm+ymVu/EQbr8qAkU/e6tY6CA1g2kFhrzInYvwNXAM+x5Rd
zam8SVPWFaRooLsDHM981sdt4ciXKeie06y+CvQGoKZrB5t2FME6n2vJscY+Vl5rXS2mtwNqEdGr
O9TJbVXoX4IZ0lCYLvdLWZ6bS/iiMyXos37ekyfV/C41LiNai4msRi2RDUY4wJ/eyspd/N6N0k2T
VirWU7OxwzRbOXjgWYuyhhb15nzRXfrt9LO41w9R1N00TJoIQZgHZ7Eup147ljnvMk7rTdVFgumP
ZgGBDjdJlPdMYK3fVbD/tny1Q//zln9qnulk+Mk1m5/6uuVTyGDB0mTbR/LUPxq/v7qKKGRgE6Co
wHA8VBeFPvi65ZtUNUAFwL0NOviD3fjnNdv8jeIbh//jn6XogXv7vzAW4Rz6Yc/nus6FHceTkAbG
Wu8H2ad2wHuMtLGSNdcBby1ZKtc6CLKjNtXiWLhEvFeamPvPVhKdxcH85IX6sq7c5Is5AG3WRq62
eyfCnODXpkgOoqopA0lijqqGE5UPAOEBXJN1bUPlH+GGDG7DYNE2m2cLgvdb14ug2RqFzYZEnQiU
F5qtWR+3UR8ntd9lgLfXWWOBcWsSwl6z6kSQnKDbj5qENK6oTEhUe8JEk4oGW5dnmmYFOw6YfFO2
EFAHBzSc/gXN5LpH0I5Z20zBSkRNQ8aouKK2Aa8AF+vxWjeX84haB6yR51aZHXTqHibGEbQOUr3H
gNRel+3Qb4zWis4ry9mJSrtKeOZvqsA7dqpLwlGtEiGjkPOiLekk0MbUnx0qgho6bCgF6E9T1560
dCIPh2djNTN+ZY0Y/Sh0HcnS1EFVic25eU/N7jbOxC06Tm4zoumKK61OlwvTSjEXVBASnOgRguTa
7ei2aIOcyEdGHrWM3rmzJWujYk5olB7jwZ7Tgpnfao49biuP3cGtSXE1XIWKWrVYEOyliWhaBYvr
bAy9iE5DOLKdVgkJc5vh4qTRIDcylHUI9giS/qbsC2jfyCexdgE4cDs4On2QfWXdt5LyA/Y9xrKZ
t0VjiVcc9NbUVTT0o7vVkx30aCm6hj6xKoywXbczPrRvHsWfzGL+JiyrmmKcx2gCHLjRsr4/zIKH
HkUq2+TSEFG1pU7YeAYo7a3HOUXQ/nit/9Y/Jcf/8/p3lT1/eWt+sv7xU1/XP0NdeYB8/eGcVDLf
1/WPel3GJtx3HEZZH4Lhn+uf/I1EjkkgUSFRGNnxU3/JjK6O0EhInqgJNWD/CmtrfpR1/SAz2iqG
A1/IMFS04PuvyTCPCAmWO546YENrq6MhZZhvoBACBpThKdfr5AuPWAH90byDecnh2dQQb9zxXYuo
o8XRS7+phrkADJ4oMjwgLmYPOiZemhDVacrcBgtIcWPJLOQiUga7cQguQNxCAavcl96Mb51h+RQh
8OCrgKBpVNZ6oiJhn7rVmanEz9wFi2nKYrtkxi2vtRk7vV8BrYg2Rj/TKeHhfgsW56JL5T0jN27+
afiatN6FxShZWNMpCtt96XI45AB2bURCbIEND6vEGq4mA5+RCmCtXAPAFVE1dU4CdlGvzbpnQbeY
+4+VvtdJ7m9lByOMu5Xn93Nl+mYa7Jw0Y0pg5iyalXXXSEL5s9z0pun3FRfCuiHZEufzYdEhUnVF
5OH4Wh5s+ZqXwaYxJiVinblD90ibR0wJJxlxS3EF+5n7nTOAmLSn+W0Q5WHQXbrJNNLmInoIdRZ5
gGqYuHA2MI3nkqVEK5cEvXupZLewbB5KzX7BVXqkxR7bBkWUJLnrVj9Q73BNySkdsbZz4/EJBTHI
WK2EkJhll40lb5xYvKTTQlOLgENiC105Kcf73LCeEuaWrK1Qyuhm3NIARIBnco964t0B96VddhEP
8ZBkFLpBKTWD+2pqLjH+HcMmlas2y+AhR5+nQburTJxh0XTTSWdLN9hjryVfMiYjKxuE47qpqAxb
lHfJaOt3d55vRQ+1sbbkBX+m8xEYEXviJrDe8Vz50F9gw/bLtnLLdmNYYIsx5zqJh0QXurslce1V
U5SfzcJ5MmHMguCZnq2ehlC+5Kh2YYEzqivP9SF7DfhGyoaWRYtaDNrAznpn3pdOB9EHgI8RmXc2
omDI0r/iEnili7EjBg0uF0krWjXanGy0iFj9bALiQSR9SDo+pIVL7srm2rKycuOmcypfVjn547yR
PkHR6iwgb3lp9OXD1D7RfmHyzD3lKOU0F9EyF7KjQKm9L+s5up7HRh4CSiZWpdtOO2vAryX60Vr3
tZ74sypAi7XqHa24k7ih6o6jeRQks9/lab3cDx93Ypt6HG6rYZBat0VgcsPEZ/IQW0npW9ypSQZB
U+OWPRUW12117/YStvBC7uZq5EpOd+GGOGR2hlPD9XMStxipzKdysBMihDxuWcRXGuwvzDiExpjZ
oSq/3oSenG69CgWgxFc4Rcur2nuBQngbGi+2Ai2hT2kdWqh+8gu6mDZk1HFhuJcTfbPYoom1ep9i
lInIg9HUoVVg4D7EaBcNrqoMLSOL+22l7q8LKkdZYRzW0D2sqKCRAiUktZxbPl2dQhgqhxLuqWgm
qj+1MalHDoPxpXWsh7I0H3PhZoAtakBvgJjrelmUy/PBjrAAIhREa8xsl6MSbAol3aRRdi7QcvhP
DXpNVH1TZyORIvgYNXETM32fUYKqxH2o6viCg91L0xK3FTRuO2hHTl+CFKpBNJnIHnhpEItFoL+I
Kbnx0J744yFCJQtVtql7nw/DyBNidgDqvMjHyrNx1F0HiWuByVxvyo6HaebRc7kYtZFxaNVNKebK
RM0OsoF+BorpGPTdOXATAr/qlpVBYwWiB5rajPNs1bseBbi5vvgBFzQtAgBcyjrZdj195lUlLgt1
nxvUzc7gireEwbM25+cRVz9N3QH1af4C/jy5nSH2rpsR525rMc+AGrJxw/rLiFMBAynTEy5t97Hn
HKOq+hLTBrEGiZDfIe/vtcK4h/6Qr4OKv0bmBuC0U6qnA45Xznhw84omSKeHNcjuUHVfpDGieOcZ
3zU8lxzbMhFqDSlrfeaemIWFz3WkJVrftfKzkbede/HfiYg7HIE9LlD/fCK6jd9AWfz9RKR+6rsT
kY75xfO4+30UlX5zIoJmZ6hSC+LB6mzzzYnIxetOCIUUp7qw8Q9+PRFxWMJ4oA67amBKguzf3AgN
9at9P3glseJiBMAFwCELGOz3J6LFjPLIKGNxMj2+mEG+YEfUP5fhKwrRgjy8ahCHMMPiq0Y/Ox+V
ctSw7TpIST23EvjxN2DCPyM3rmF3MmRIo8cCNkCNGGUW3kWl1KnWfdKV8JkhWy3IV53t4glUipYR
9myYxR2TV6LEUmTrGh/rBjfcE01aVEkbR3tOfDat54WYgo5wZlhavSbVeBbZhS+VtpYu8b7ta9jN
yG566O5HpcNZxNwAu1FlVNwvCHUSwY5BeA7ZyHjXKHWukfRSHUSQhcjXSG27IPrFEvIZ72xXScRi
muM3VLk6hGAU6wPRsPsou6ODOSwgGCErNi2S4ozQWI/GhHwzuwcwH6jkgXVMRFYSytb2LKLWSuec
uO+1eVda08H4EDOdm7Hqb5icNfcZcmemdE+n9s5ChFCR20dPKaOVmC5ws8LKCV3Nt5FPu0FLuGGR
hEVYdWRZrmqk1ll/bRFeQwTY2bOJSSpNdvHGz6lSabPavMDa92Yq/VYi5AIPJ0artF0N/Fin1F7O
x1SfTfOesqad541+hTDct3xmodKKx991Y1IXiMjU1KAhBG5SglsFlXcEzDSvFqsS3aH0iCp1qiSX
UT6X4boUjesbMRh/v23NTj7D4R4PSUejw8ZJoWGsJnOcyegwYtvMmUW3XAS8rVKHn77mrF2aX4qI
ejktsCjn4USFIx2srDmKzbi0X5ygt9Yyrd8VaHg1B8lmhri3ctUKGNrpjbtUHAtN91KLwKx3JIJI
XrEha9FjNllPhTcxh5gGAhtptEY/jjdWbb8mVftuzNPb0gFPG9zsIcRJQX2PeSGGCSZNaxwbAK4+
xw7Tx7/A8doMN6ZM91bUPHmp3W1N+gIwOXlPc2ekKzSEBHlzfIWNB98NGybfHGo0CroX1iKRdGiE
2mX4lA2bIgR7OyWv1oT5K+f7UuAeT5ejQwdSUlbXg5lEKOjTfUVlxsphrptFwOAtiDyhcD4FFT3X
Nv+Jp4+fwqW+joNsPVtQhsb2qQBsxFFHg9DhuovqxGJYiKy80UghrRwng+Ib0T3RTBzMRyYFcFBu
+rkMD2kEW9gpLpemAotRvVMP1iBtD43Y1nPa/O7l+u+mrZbZf95Xrmhxe27/vq+on/p2X4ENRzbw
4178Q202HWcYKQSQBuMD6/2H0ghUzuK/ojqbzOEf+uRf+woAOMpogLByT1fpxn+hNJqu2je+u2mz
r9BFw2+BdunxMH2/r9DzVhSgdvSTnY1duocMTWejV6cXCd9Da2mvvWj5hIrFObHLdmMoP9F12K5y
vrE232UZZMwM+XYDREGoLJtrZyghGYtjH2Dk53kweS6Wfm8n2lPJoxKEnI7Dk66eIWwf3tqxuZe6
OsbftHXoX52XV+Zo+LV7hj6Qt57o04Y2aWq0lY3d01Lm+/Hj6eUxZgJj+rV6srGzHhf1rAO4vrAQ
njgggjzV+hlKnHiLWSDGxXj11IpRqrWDK+5trlYTQjNP46x9ahaWjGmpmTU6HjwpeVk483zUrPQG
NVYxtFinJhYs1C3+h0H7jl5m8T+EKD7orJ+sclQSsDerlS9Xa+DCYijSR+YxUUsJXyu4a4wNlz8o
GYHbNRuO5qyl9se6StMI/oTKnEdSM2rl1T9W4XhqMNUXA6udanAm9V4zHNT6FQHAykekZQIsVOez
QfUMc6T0YBpDA5E7boDAhmN3TTwQTvqSNddDSYs0jPB6xXmVj6oN0FwbxM5I9U7nqoE6r53HcmmQ
gulj9S3VU12WVOR06uo2qRbrQPVZszTO13w3LXBXtF0n1F5Hqv9aqiZs7m3xRaDasUfZt2cRSJ3d
pLqz8coD0qhVo7YWmcFOT/t3Q5YefZJ1D0qTBm6dKu6B9rkVFYFURKqebr1GlYxVdzc7wZtUbd59
PY4+GTimfVR9Z4LO79JOsivPxFClfzSCa0zrpM7Wb6m+8HRo7Z0X1W/5pMudrWTnWvWLu6ppnE+O
a4lqH/dKEm3GTCN5IGAWtJSQoISitZu6qi6nwIaZleozr2agKiXtQKtWVaZ3ntYcR9WAHo50ocuI
xC1QMHNXdU7m88ezQHra7zFmVZh2EYAsy9yh17I7CtW2nsiK+zl9Ui8iZyiMpIOJRvWzM6sEL1tZ
g88lXNf4LWlyT4qeTnfV7t5gxtmPS1p0fgQ7S/iTaoKXA76U9ww2/94D5HxdIiRs4EG0xy6A1Hs0
uak2YrrLAOsSIYX4W7AVEretH2ZNhmuxBCAU5VhibZoItLZPWlh/ysqCa7cnUcRzRn1DzmEmEW5O
r0nyoBflVVK38edZkskyojAiSeYB8KvIWyz9NUgjb2XTQboGRFkfZO+8RdnwmSHDdgy9aD1J7X1M
unZtF/GTqSVnxHQfJzDMO7PVnHWWN2oRkRd8FIc+le8lz6mm1Oou9+5ovr2q9eisolhjVTTlpSus
L4YjPw2ZNm30ZrrqlsY7eE2zL5f2tl3kPTTgwBcd9+S6b3wQhDEdg/G8Mw3m8EnBJdqD+DSigTde
dBOKhm7dEI5/n5n10RbLM2NtzmSFsY/L6Cx1g5NnAgmezHozo3bypMTNquDLhv0ig1pGxPIl8Tjz
OWmX7ENzIAZlQU6euOifORBiVpZTUvlk5y+ypRIyF31BwKS+KkftFovAuEvSND4LydAxpKUALp1H
j18JJWHWIMEhWjiroBzD6xx7P4NzcoW9engWESDnqRftKjvyE7q7doKyxZssbKqNZ5BDZIXpd23i
ILTZk9xVlj77S4IgCMkuY4Vx593Uc7QP2tgkn5VbvlwSh6yd/c7AZtmk1nIgcHjiYnDMzeQcUEbu
c94zduZoZr4pqmCbgtjcRq4tYA8HMO9EWe4NZ7I3FCNy788W0lCxsTNMBRZO+G2jnKfWGDFoZQX8
UkZZGYA2VilR4xwZC96p3Qy2IvWHlK/ozk5LOEQnOWJpHXbhushxDbJM/dEg+t9RR5Fa/vmoc/v8
BRgkzuWfMHTVT/553NEB5XKaENxWuUX/MFjwHGYOX/8bfurrYBVQrumwK7M5OwA3MCn/eY32fhMc
g+jmsD0eHFxY/+a485NrtMuBS/12SjNgtMArfRdsSIYCXWsaT1PmYajEW7UlxpX4VaK8MlOHhyRt
eS5ta3gak/xYtTwSjvBc1K84Xgcz/dhB4enAdB0fNywy7Vy4a0fE2lF0y7MdGAvl5d3b6NQthE9w
p1UW3Jq95lzQ+QukdjBrHtehviStBLQ9euii0R9FAVZRemd5Z5xZjf6eTvPDGKHAW+mpzkiT6sZe
xgwcZMLeEOdUmSYZXPRlpnwb30/LbBNNnonPW+Ja96OjfU4H7W0cFBiR3r/1BGYcpl7+WufQHFKh
XXaCianeFPNqTLEgD9J5mSOAFOCq9HWG9M+AhMJjrhMPUV5eG04IqRQKgztbbNZ9N/hhs+vDizA+
QCa9qVuHzHfwtqgQe3Hl6MSdzSa9LBDRlyn5lNPnFBjBl6iw7wabyiSRvM+h8opkxrUHwBfwATvY
ELaYTTsSCD2IvT6Lsu3UZdSoSdbWxplv87CzN507Wnvcs8nazCKABEWPJF9S9pXHzMFb8No+y2K7
sbpwn0Z4cXLN3PXo+DegA4zNhMlmlcyI5npME6FdAnJtapVNxYK2TknuneHgvinbiVwemaUdxs0D
w4aYtvUuJi6c2Ps+kHP6UISaG14Y7ZJ/SlqbGXjGCJiPb1jWk8lxdphiTiq2994SZZyi4RR1VMsg
9KPtdR86XwMV8TXPSlfbSGjy+9jSg61NUPzkinhas1uRDDVmuOLWWF7kixHf41F+aCAx701Hfk5p
+GCTppFqtBJjo1U9c/vZu5PFeDBz2I9N0JOCxHTd6Pq91rP89nhS/ClYit0wFuFNbuX1ym2JyrQF
tjbBZ0kv78UETeOObwAeeapo1gRqpqtiZtDk9WN1R8HaS0s45uimBnT3JHqrdE4LizULAvj6peaV
nCKoBuKjt3Uk3K7fN33Q7A2S/Le1U2cAed3iLjWABlR6HOHHru5Kr9t0ncP8ol8Au8b2fnIYgPQB
MkoCdwGo9EzSXAZrzWymdZ6C0bVjcvrkcDBKx4Fz1s3ieQqqdR2ND9ghqbYpxEyJAv1+oSU59U6W
dgDYj9qSjNztlzrYxF5X7KaqTL+kjNX3GbHz1YK6k47RtB8wZPtNJxeajHFUrxxbNtejqQfnEXnN
C2+YL1vHxf2QEcbCGciTmQ/NFvbrtOkMGuw1bwGkrQPlT+1p8f+TdD8kXZPp8q/2o+L/bDH6fInb
Lz/bkvjhP7ckAw8vkSZima6jg4r6ZtZtqloS7r7KucN1m93g65bk/iYN6VpC/vVTX2/g7m+IvSjC
RG3+v3SZYC6GRaQUZCIT/OLfbkg29dVeEjTLaek+1V6wUt/7bz6Yn1gu1L/w1w1fkeUs/g2YLGjX
Bi+hlOVvsnx8ZZ1qqkz91E4ag6gtlUvcWl6Hf9mE/LfX+SEaBBS3IqdioySgW+rN+ei+/vqNYJz+
9Tv5wQkdchOkv4l3YkzuarDuXS4CPHNSO8l+8JFY1u3wVPX7Pr7qyoC1/S2JCLtfGeV1V5DewYUJ
/NsOiXUwYrau++R2zCMQsPn+17+pMn//8jP/8ZgRawETSPVZmH7AlbiuPvUDlx/dOo1o9UFAnd/8
7mpoLf+PvTNbjhvbtuuvOPwOBfomwvYDmmyZmWzF5gVBURT6vsfXe0AqlagsHdLHvo6wI+7TOVUq
CkkksPfaa805Jv/X1CPn/Q+wVEz/+AAIKJYgHhEGr3zW1iGJXGp70ZhOUx8TFiBZdXqRYCHjvFCq
pJ5Y9PFBypjmrh4bW+uGa4kBGycaUgt7UZidGi0yoodOhA0RiLuB9btep9mDnCm7wRepkWQhlu5G
JYvXSmLFJmfD1s5Jfqv1elvSd4G1sZLayUU/uw7nU6+T5BYwnawE0MvzGuP9ZSZf4ilf+fBHUBUE
zS0mo4MCDbiGRd8jCJLJmiOLClEz5X9cugn43ZLTrM6ZYK5qbqJEjFp3YYiZN5SbqXpoYsoPKJ7V
kO+lVr2K40NMBFaPofUu01K7VGbFK6zbVl0CSjRglRwgtChQsSJXZLeanG+KJH1E7mVnGdIoSyPH
DtL1j/ypf+mGXnqCb76hxUmHovPXi6+evS5DhAqqHZv5JK6Vjb+dL9p7ZQ0x5dTY0kW7qZzaM13L
mVaKs6t32apwx0dhm6zatbjWD2Tk/pgN/ssP9LvN4J/LxJn7U03TzsiWR7ZItuSr5YNbY+FaQZR+
/9H805P5djk6W/DMKJvTMOQ6AjHVt+PXamHcO7TMdP+Dl0D6/Rb/+JXevgRnKiKL76NWrEg+hcTG
XELv6Zj0gthoPOJXghOC6fd/td9ndH9dT2GNxTYN4/echZrR7jSMVJFPA9akfP7SC5fvX+BPCyCy
1b8vcHbvOCQYkBVl+dT07tIeHQSnGT9iPH90kbNV1hotnaBkLmL1+7natfqtrD+9/3v8aUt6+3uc
LY8TezUiR00+AV9Ei0ULU7+24qPFdOP7hf6jT+uH6KUumuJb+9+Wv/mlKKeadPL2f/z+j82Pfw5e
C/e5ff7tH0DvY+m96l7r6fq16VJ+9MeLt/yX/6t/+Jcx+Bac/n//r89fAQC7UdPW0UvL9nJuGl4k
w++XR/ZrnT/XX/8Ye7P89M/6SFI/MfdmlrBgqTU4pL/qI2TSJsMJjuYkdCwup1/1kcafYJsnj5Sc
Pmonqqqf9ZHyifM/g28a4Yw9KGz+nSM7Xv2zhZJzMCN+3WAX0yBAnqe9WaMmlATihEchMWVX67PW
Mzn2bvUetGxfKwRit1ULf1qfmJI5iPs5lftD1cR3wA3x78wkUxzzWlbdvCJZUKQtJPZX42AW03OH
FrxmiDlWM9kMY9rjr7Qr9N+EDivfB6+JIVXzlh57HTTrthTS8MZsyZ2uNayDdi4YjCfnYI5vsyLt
7zhwxrKTJiKhJhKMZ1uOqUHKMkVMjGh6M4UMAVOtMz7nUk8Xf2JE+7nETYEJUCvnyVFzjmqO0FS5
kxB1fKkkfYkwrIofBa0kmcwifcVGDOZzPJQC00b7FB3w0JJLkVFpBI4ZsZBahbzNAzFzaMh1EE+M
7GjoeX+dof72avJ4VNBvec+Q29c4ZFfmk0y3csZKZRWz3WNSGW3DjDQDo2hqXCOpKmZnbrNoQ6ry
/JLJggJmTiVZzZlEbJDyqrO0mMORqnSA+8xeadcap3WhcaNR6B+BoEkSXXjGympMtkzOChyijfRA
9c2L6WtQ5tnaWAENazI16mBt0E25auo+fkJi2VxZRmOs4lSXOGEj8r7NhvJoKU2JkUTgbl7mQtCL
XtAsY/jAL7pqG8pSR1s2kuPHBLX67Whh86CT2GEwHnIxSjeikreGLZilH28rqY7HXWaQhvOqD2bw
asEkXQO28wHXhQWkJgv8UiMQAp8JcEsSM2oeKEXL+rSkvyEu/Kts/49eutavxZHGXPP7UvX/9MrF
hvP+yuVGr8GfDnX84N+Llv6JgEo6+z+gBksB/lOuw6LF1ruASzRmmt/tnD8Pdcon6i6Y63QAAQ9B
gf21aJFqCSsWyqwIof/7KvhzCb/8cZhi9f+XtdSfDBwq+7SJm5NBrsTAgUXtzaEr4q1viNBTDmBq
mDJoSdUGrdPpWrLLIh5erJX9bDCiAw8pgxXMp/mmQ3kbIAW8ULrYeE5C8nJbTNdi9RQbqSRd4jeE
mBD3uKHsps+tU1a08y5QujTaVu0k35IgJmhbqRFrwbYsoT1lvuLvkkkXW09Okli6iQwsYnuWq7R5
sfJAJ8xQKWvtahEh9HqevmKUYkCaRx0pYyoC5rUY4zG3KjPqr9tqardqKje0Z2aEdJ6/OFBm1cBi
ZlShuJcXh0pdVVRXOdRZLxwtytiqbr1OnKK91k7qhe/PZWfHhNM8d02O30utfISJhgpOEQtAdxnK
2jPkmSdAcC+xjhkPqQTSGl17LdvsFQ2NRGMyq9SvMFKBUoK9q4JhSwSltmoToYNmHeh2L4t0a4ek
k6ATDIyJ0EbfSwK9GSsZ/Jcx0vtNo+TyNhT88EJIZHTdUo1AuerG7VyW1RqVSOHU9H7sLMmZgplM
6BiUIDdGJ86XW7o6toVmaHzXbLO92VkQ4v3aOEyaNm8TlVZvJIMWU61wbURInuoAXYkymTFWFTwa
Rp64pWm9mmoorM1+3qQS9lxcOOvJR7YrNFmCArZmlqOODyqRNG4yzL3NdrsuJAs8XDs6bViTAqmM
WPlCem9Wqo1uDUsGg10pn4BLJCRyaso1Wcv5ayyqHCOqKL+Pe7QgKFoJ9unj/f+Vguv/v1VLe7fe
+kx51v1JYrj82N9rlvmJ5QjtHjszfai3UhAJNzm1FN4xqjDxN9OZ+gmmC0YI1pGF/rIQgH4VWmhA
ZDDXCgT07390tka9t2b9XvazLi6qEjwcCB0ljVWQgu7tijWK7KB1nXfHeUocFHeL7A+6ZvbBGYn+
2lk9x4U0GYcJoBqUjHQnfr+QlAJL0DGJHsVOs+6AnjDgzdAjzBsTbWbNopd36rZp/PkmlpmfEEej
3semETyWRUy/IpisvYS2FhFDrY2X4aRcK1PRF64+Bcy4+yRulKd+rHTzcvCrvl/FUqG6vcrMVU+E
lMNZijM8KstC9oohhVtrCgGlHAyS/CFKJjrK5lyLbpO/aKk6YFooidLuxDLFIp6k06rwCTFLUVoK
aQMS2YiGQjmJvaQlF30an+o2wbBRsmiE1qUiia/kHH3Nq2DlN+Kt0VcbFNlrTdCLNTrihU2DUAFd
n5V52pht/WmqXCXJAEMTDpZO1beQCfRcAiiUy2+d0t8w9qHZodbxo5FgKbCCpDsIRlkfq0bTd2lk
IeXMqDdnmUOoICjfVCIPN6ofUgS32AARxFPOpILGfHXptlhHErMGd5bN3sWsIa/b3LibJOEhBZ5N
2nsIMLZtAxm1JcnAPBZ+5gFNQHOjLn9FC1w20eu7Wm2pmXUzD69RcwteZ0g1qk+R1SuNJu6iXKAv
TbraVYV6cmNtvq5YQnehAFr3TcXw13b8FvgnL7vrr5bn92eZMSKDQw2OksJj/fsjBiy8CgLwtsfG
y56H2pZu5hsqPbty2k2+8SWbit/L1oZXe7mt7dSV4skb3/nwJH3W61B51Zk3UmpgpBJVtvrfPwf2
x6EjYK04+nKwQ3QyOklA0lg5qLJtGonlVYAHVrWs1/QETfEQGLW/k/iO4E1nzmRMR4s91jbl+QkW
qrVqSFdbtW25IlvvCdMz7SsfDYk/j/dVWiK8qMmyM5pYccfBR+Me0gzDEuChSVgTZeDEWCYrlS4z
iWabWUGdIMtrdcnw4gC11LjombJ8E49w7BXglIVYesMQXMg+s/UkjyQyxwDwZnHj8hIfh9FS1lVA
2FSjBHcBYZSSkh260QTcYpZrMeFBM6xKXXVifPP+V/z7IrJQ92ja09NmveT4qZy3WqxZHnCp+PVR
7GlAshDghqgpBhCneZhIkNlUwfP7l5SXDtivp+qf1zz7NoWxp2BLgoYQPQWzZI2wNyjcuTE2akZA
TOWLdqCDNjcQxGpp09qamk8wR5nLmgL8qsh8EKOmIrNG+IZGakUj8yAX+pXozy9aUD1l8PjdijPq
f+7J0g/VPw2/d08S7fN/sZ/rL89/2pkXpePfOzPEFpkWB/EShEN873P8PE3glISnJgIp1VAT0A14
2wKR2LBRcOoLX41zw9udmb0aWcBS/9OzYObyb+zM/1zNOOXIbJkGJwoe9+W5fHOWUEJJGFqCVI8h
2aDNcRwf39yWPyyXWDd/e7J/7P2cVzSc5lg7NeNsvez8RgUAPXZHONiezD7DkOCY+kzL6/YbPAa3
jms40SojeEnIt1Qrm7qKWeKhturLTgYfZp0bOGLY4uIuXKlseQI8flu2LjqNSW2zbIpzmJ6k7/uk
0reVcgpIoYVkg6sw4CY6Wog2AZLMNDfI3bXtGDb+twELuKJkoQ5qLYIXqkbp10pOfUA0QDZVZI/M
tALhISaNm+JefenCkTVSMgJ8BWG1l9Cx2YFknowSTX5q1g80chSPNhTQOlUdLuMRQ5PC5rSSagXZ
aZ3v+zp6SmT5QpOJ1LQyItoDtu00LzbA0Ga39qtbX0vXyhwdTGbAnIbyJ0HEzyOp47csEXCtWkx8
wWWvOES5AKlvDFZiQSy3SsXEXhQ2ednt2lLkzNBNV2Ni7sBnMJMiFgCl4a4yjGdf6nFTGajFLAHf
WfTcsvFi0GBp08xNGsQnAYOWRp8+9OVH8m53VmdsoEhdqDnk5VruD6mCtTJTvLqsNjrhlHahWp/j
aG43c5Je1j5t/mYO920kPpaVvEjJ4p26oHFTKbHlmQBjZVZvIoXcsLAZQ68zo+2UQlDXYk2Dq4LP
viImrdCTp061ELFA7RJBhKH2g9Ae5DtCRQFm9/cqScfEBhz1Rn9s2vmUROp1mDGE63x2YbU/hEO9
LVC+BghFwMMjRrWGTdoPF6Gc3oDYpMUXp/cM0z9LvnGPiWBV1PrOnLWVMNZPutqSsdCCAFeax4Jf
Xp6yEfLH/BUIkQfzxQFwQ1E1XpQDg6quCkpkmEBfWrPBVEJkbqAbT7wFKwgJj4FPMTg2bbwSuo7H
pvo2FfHGhLOiKuVTV4uPggD625gqO0EO3I+WI2rplznxr3AHztBKgoskXiIvgxIFs2DchjOMvrIL
4f+AFhEzRH4SrUGhDIm2ng3tYI5NvosifUa+QUaJpt/ElvrQlU2wAnZNw7Bc3p54uBEl+M1daaLG
HipXq+ArCJJ2PVLBOt3UpXtgaQtUSGk8Ky1x7ZAG4w2NfgxaGRC4pn8WMQK5VuWbX/AE916IZrKw
+1KHN5jVvd+AUBH8yY6jPjqOdaRfVCWYcYtbYStJGTi1sMD/0yJ01RAPddoJotfOKGzy1k+uCxRg
nJg7cc+BnVjiSaY3W+/bdjyVatls827EXqMsmAG5ajaaSdhnEHUXuhSQg5GU+VqaNaCLs4XLUpbs
Tk1Lr2irAmVylJ4M1KoE9wrN1dwvsdh++aLN0+faV56NpNqwvnE0lzLHkojJnlLhwk9kmIKpRL62
rnFgTovsptAAAoIz8tP7jrDhoa8HqFX6SSWUlZXFqWPVVQypc4sy3xsVdhhOYfz3w1XeKST1GaXN
GrWjkNugBvXiPnbKub1AlL0OtfBA8MY9QHDoj8vU1E/X+ZiA6aBWa6IWtLqvM5ckTdhXI+NLOQiy
g6mbAHK1GrJbXE7DqiemQUFI4ihoUByyYRJvjqL6MJvJUZHLDfyEK6kiriUF2D4SX0tGK5IoiVhW
ye+AiDOATSdiEYTyNpMzpwMTlHKc6EJvGtrMYs3pdoOoF0+52gqsv8I3CJKwLDtgGlwOnUupqyeS
tevJmRKj3/Rx2K9Jr53WLP3hvV9xBblLb3MwmijfRWvXgYrYwchE7qWh1zUUE50upwW1MG61ikOE
DVedxHYs0+6k+iickupW96dbM9fmh9nPIyftoBFqXSDZBjEd7WQK61IkPwebceHQdSJPoNe6hzqC
XjGaUzQ7aTSE7Ephu1F7wDrJgJjPzPAlZcWj3pcgLaPVaExe1xQn8ol2STXdiYj9+ohjJenqd10q
35pdZe3Haey3hRDXbuGnk1N2MYG8oviIwEpxlVGtHjq9JB2iwAOQhDzoRtRxdPOVB3m02htf1saV
2dEHjul0ee9vz78fzCk7QWboEqUG52YLAMPZwVzOMtQrQZwf24TAkHHeavpwNdTN6v3LnKsr/roO
+kxMhjgd/1EEtMacJfQfj1maHoC/3bEqkZ+RPbFc1vYwWUugQ7rpx3KVmsmmkUOYLJxj5HzPSnXB
mJy2XnIFVuxar0RPCTunAzuQB/5r0emYEXgF1Nk86uJHlfkf75Am81JyVlm6Cr8XSFrWFVFrJflx
AD4QTCSuZ9gRPhjYnzEpfpT/KkmaqFu5Rzzov1+l6ZJyypKuP5YBBhj4cFsFPQcZTxX7Rt9j9Rf6
B6FMiysCKt3JEreDid+3mACw+op4NccZEdSI4ZGwWDc5u1JX9OTTSDQJi4GtHNjY4qk5RkK0G31O
3YPMe6NnBMlPeN6vkS4+Jy1dCNAt6xmJmt9IuhemUeIlrfIiMIXhxEk+uUI4ykRb2ikqvAUhmk22
IkqbUN/Cl3nFhvA8gh3oNJyko5EeyByis2hMwkaUhvgAmSWz55FjCyKSiPgniAZSFHz2Oym7rQaN
/UMKSKonUabRy3ajS4NHVINTSaBJp9hIvFKUT5po5O44o66QlPTCF587zoGasWVdfDQFRKLGIG2m
WH1MiQ7HzIG7oMTBpgiiO6uUHiOvGU7sDt2DkG3qNtMgIow7BCnPSSSHL1OqrUW9ylwjDTlGIRBR
mmpFhgloPXm8znDHIcSVaB/N474ymg/kEhiDfyuafzwPvJCLwxcpmLVAqd6W5bCIipw/a4/05p4V
q8ncuezToy5U6Caa8In+GTKKJnQkfcSb+h3HkR64K9gowsTYyEFzAGRr40s6aIX5gMU/XDWZVq26
TlS3jMfpwUUw3npiqzyxULMNDeXSHSSOiWYNmZBQl2vyrXJsRdVNkKEWJW+GuPKhI+KMIUFeVis9
m5l968/WMmrvpcIgiEa+0+WJ2nnCA9lKLs4D2vSaQKr1oD9gf9rSPPhKXDE+yIFlwEo3ej7e+lZ8
YfS1UxXKDaYtnhD8EJN8o/X9IYnDmyrSrjMDtfTUPphJotrUjaKnV6TLhBV20g5prbm4ZZRYcEVf
ZufQhWeBZ8IpLeVRUoQHKYQNXbUodEIy6/tZgCY8Fp6k1msRipWV94CTDFyOvYtpWHRwvu4NWBuD
1KOaSRe9cHurLKNBc9w2jHexIbxUMK1yQ/dgdxySLncT2K5AVy+MXF8NdAZDg5SxCBG3bEVXSSkk
W4DrXtFMnp4Ciy0paAo94FzCy9gL1tVQtd+AzOLhnBYFOciBtsMMDINZZsQjSQTFNco6UpApmUur
Tg1mZ1gq1KRj1AA6IpGG+4JmGCFsl+QI2UFIVkci7DN28XAIMO2kj33ZrCrYXNZWVV1JYtdM/YGU
HgJ+6qx0O6GKSdQR1vFg7mcaMIbFXHmQggUDxaI7yxJtTyw3g3kJaWsT5C3WpOqCSHuq3jYVCP5Z
9FKpsVODYV8ueW/aYn7CGyQ5A7EJYYmfpeGUkOoobzOv6IwlH+9S1zwjAaVsHrNxpdMMVTe+0d+X
ooBlRjzoWl0jLVYv4nAgesj3/X0n94bT0Hp2DOxLcHZgIVA3bIqpbVyCATd1TxViFLA2DObDvV9L
H2xtH7yp36VYbw7QcmhNOKySDqA1oTLNIaM3O/aLSOCU1AdgYh/0uP/UnHqzMpzTi+SQcV6esTIU
xSvQ4368hiieBw9o1t/fs7Vlz/lHSwpaPD179Bbwmn5fg4aGNhxJXCNA5SnwyogYnMiXFwxMsQ0L
JGzJ2O/LEqBXAc/pYFamZutxwQAvRmtPG5JvRhK+Yc24GnPFtHul+yxExYkUyxvav8AYY6dt5Jsx
aEY3b4MV3JenPFbvhTAtr4Mu6T0N0uE607q9Bq+ZwsKb4M44lHjrvFWMe1S2NyUpVnRSdp0CDUWR
mT9OW620TkMS7Gu2bYNUp0TOeZkEjIGmM5bSfVbWXpT6WxhHNslbpt1q2fMsTpqTDsFjNVo1sTw+
c01ajx/c1d/7LT8W9iXG5edNPevzJbqaAwAwx6M5PoXzl8n8IFzjo7//bOMQhZQaOUgmKLg3oM6R
m9x98Fi8/1ToZ+0cdGiJmMjBdNTkS+wENrdJDCfn/Yssd+Gfj57JhJ0BjGbqZ4/eaDRD2JBOeLRk
R25f2iGjJrmLRuODb+N71sivCy3NKY02uiax1aI2ojL9/Rmf4gi311zKR8qYFzY19zZd+S5sFzty
7u3cvt8SlHTx5Tpyws+j90zyyhfe6GajbN//hf/Y/33zWp+Holh9ZJXLtOXYrnpXdHBb3nTr7Aoi
sbewEFfSmvu8khz48HboWW6J2OWYv7z/KbQ/dqHfPJ3L4vNmMUv9JjXlmvv+AGvAM+x2ZV0a9qlR
GWqs7zXnQneztXUMV+Mmv9E2t2gK1uOGdc+e1wWcK5fWmWu5wkW3ydfNKYSBZAfu58LujqIzrbWt
tS32w6a+y1Y373/0RWT2h0fm14t1VkELchOlpcAwSLMLu1w1r+WqvJVcIEau74Zu5OWrbFesL18u
vG6rORzY4x2Op118xM/n+ExF7K++8/n9T/VdCv3r+frH636OJIyioq8NnU8Vbi07dOZNtvZvc8wa
QPhtXJU28bV2ujaP1UZ+opHmvX/95fH95+V/vUdnqw1LjTA15TQexbnwjGHYz0Jy7Dux+GBTWlaV
965ztuqYYKj6fiZSl5ra7ocXcdwMOL7wz4vIDcrV+7/Vn7/qv3+r88OkkLH4a1XcHUMs0xMRlsHV
/9kFzs58ykhmhU4m8THR9nJMH9Ay3Pev8MEXcx6HI2SlmRsTL1pRHlFjrEoZiLL5wbfy0X06W9wa
KW3i3ojb47h8K3OKy//fjyliVKb++irOHrAOz3OXN9l0HPrRiciqTrBpZR8okz94uoyzVUn3A2Gi
OcduMOqOauVekrYnhVBDY2oA68jHHtzo/8b3oyGuQgamoOU6u6SpGIpfRm13VLNvdbwi7JYm3/r9
a/zx63lzjbOXJgUYK1ShOh6hWtO/v8qyD7oKH13gbEmck2xU4qLqjyKLNs3oREk/uE3f98f3Xvxl
Q3mzYYQRQx8/5TnmbMAEPNj1m+TAEQFbgRN6wamzsx8Dx38pf8OU+/5as/zWby6JZBRgghyyRz3Q
GCbx1TkEXNsenqWLedvbl7CK+QNb8zJHss0rwb5uvWVXv3ysLpUdp3as3N7U2pvcCdcffbw/buRv
3gj9/MmJ6kEk8bc9SqdlIxfsZp2q21xy7GStuve5vYP/u/8mfuFwVt9N+8EePli94EG/f4fOvvde
aPSwsiZqCbd3Z3eabVm3rX3qXhO7c4FX1X2UV76d07Fd1etybTrCByv0Rx/hOxnmzZckjJ2g5kPZ
HuGS26NLZzP+qq1gBO+713GDTuTCWAtr4VvwqDjjOjnBKX99/+0688D83Hp/LU1nz0nSK5na5Dya
2CVXRJvZ0VLVbRPnlpzh7ZYUXHs+kopyTxi8m63KtXEJYdXtvHBLfsFT6nzweZbC+B+vyq/XXVvm
pG9uiSlYzIZQeh0rT13rax1r9WpezRfRXrJfiLZfJY65LTc09S5Gx7jzMD3xFbXrZHUTuUuR8Fdx
8J8i4GWO/tHo3kn/PLjnR38O7mXpExRpCafB8q19R/P9PbjH9gniGA2uxlR/4e+98XbidtAXC6f6
ncrE+/9TUqd/QjisAPmDx4TxgKbevzO4/+dg3RRxl4pwCzSNqy0f4u0DZUiBlKa1Vpxkk9kKONEl
UmWaiBhm+iiPgUSrLVmlyrTNsxzngZWHj5ll7LI+WplWuy5SaCaI2WNNOM0CyBJmMMQIG8VFGhnF
KY7qz5OoPphWCXayWTz0Quv1U3L7I3W5paeaBHQhi9i4GgPyDux6jkuRObhOEK2pDaInjeKRnK3e
xeDcr0M/JM9CM0maFVvy4SUGcTETSCkAEQcrbvaLCNCvVmw6fchcKG+ElCxt3wlwCvBKOlhjO7p9
L9714AEN0K6DTJ+ntVR6ZCJUFK3WXnR+T6fM+HsrC0UTpBJouOOACCqPXyw4CN7kF0yHs3AJ8gq3
c67627SMdUfMRq/ICXADNJfuNU0YLvwIFTFgUPoHdXyH1BY0ftpyDGNEDknA0Ra6yzCrq1bvbuuo
YjyVVHe6EZzKShpoWQwX6gjfVan8zvbLvHNzgVbioIqVYy1cgqTqDmUZEyg3FemKyeMayfSOiMzP
WdzjW1oMnQNWwpmGtqEQ8DUl0ddeUg5BPh9nOeudziBqrIvrh7QVHL8rljyr8qILTbLOgG3jWekc
YUbHWyTYQZsiVuATouJKZR32nn6V+BOtuQGVnjwHXqVm5moQipdKBgItiw2BILCaKmFdiBk5YtFJ
Sru9ojB8Z3ndVz3PjN81l1Wkt7aZcGvEfuo8ddEoAKtr4m5dwRw0tBB3oVUITtXHBXpoWqWlsK5j
Aetc0RxmNOx8ewRudaZ+LevywWLY4dUTZaWaqfRPibhnNDpHdqq2eOwSkdTNwfcajJ0jGWSrPs4P
geo/TVU/rVLBXAeNortaK35WK0TuSsWcgSzYqWp1GubBVTBIF9JIXz0YETdaX2t9KN0M+RRYfX0b
VJFkz7p20XbNKaKHLVwVhZHOr9OYJhsjW+Qg5WegUhWQLuLHiBs75AxxdnFrPRaJeN1q9VeznFCo
g8yfg1UAW6lshp3VAosU5X2RhseoKHZj3BzzIr3sc0bfdPbBKfjdsNV97dusC11sx4OirqOOPiik
n36+kfX5EFR1A6M5GlYBzEV7UHSuq67LtF4PxtwsqgTITcplrT02cJiYmVt3OUhrZqj7WkYPmLXa
dgC4G5TzZTcjT+wjSJFad8ViR6O+dWWCxgjVoa72K/9SadoL/F2FnZjtvuiia0MyFlzJzQzmGlgP
sKEQ8K8t1ySPqZmRr61AQns4pdFKoW5mphRsKkQ08BpD0ysYr9hCx5OTlxI2J0lW7YxTgzkKD4aa
fytq8WtmyrDZi/TzjGdBkwhKHKtSdTUlhGZb+4ZtxOUXpqL+BQmRByKzWSZE8TIrMl4Go5JO4IFe
ldkYPdJ6X7uGWUimj9cw0dDJ5P0Tso9VpYoPU2QcoImvGLEw7h15X0y1UYESBfc5rh4XesmqNKd1
75OtXdaXVpTuRT1ezQ1GdK3yjzExNG6kJ5uCSMQdHok7s/NdrsyU3lJvJVGTGd2jpZ0ZYXnlGI9e
JciHkdfg0iisa21qNmOqwoxO6RobBGbLZUyxUiiyrRktgiAjAnzcQLaMquewgg3aTrSzSQX2cE59
C6yXCMpq0yrXCfeEfUAi/zFP7TY1LyG+rMQQgLjfMzMpfUQV/TxgXujjNWhNw47i1IK4TA4ff51p
gk/WNCIytOAYoo/G0BT1e1WQQKwG0rTRmH2NOf3WrETkWiDZ7Mx8Q3a4yWtbB9uxIAZIwL9EiBP2
GSYmxpPYzNGW5dgORlXDGD+uhLC6kSMo8sT1OEGod+ReLaj1oHlhqk86FhMOnAZYxdAwMuiqeWrK
m04bL1SxiYFzVOuO/EMtKY9DUabbUhpOQTtei1PhMTWfVvj99kVlbcgMHNDHTN1q6OTXxIIX0hjG
VRYasLrTWflR4f1nPbVInP91PcW2luNPpW767lP9FT27/NjftZQMdJJwWZV8cQqgt/YEWfmky4qm
LL6oRTfwE1MpfcL6aRnM3SE3LXimX4WU9Yl/D3eCpFXGo/9m7iwGid8qc5rAiJAtc0me4H/4KGcn
BQF3ol4RPnuZS6j2Do3csetOXQR7F1PNIFv2OPbwfVOjfGHDe5qLOVyPQn6jYvCxFePL1GNIKrtg
U1NwVGWUI/7SUrdTjaPYSpUjxB25dSXyJL+wkGAFU7iSkUXZYRkcBcFPnL4PWxTUxamZ2q/CEiur
WcNXtRQKLywatA5E0hZmtB/VZRZtxQehrC5rsdDcIlRmYqX03gXAlzI3rL8KBXFbdVd/6aN2he6C
ODfZ/CKM0iocWhQwY7AxjPaYs+naCYoTW6uGR6JJ79J2Sp04kW4UrX0ITFYu0hbMtQRZ6xREvF4U
oS2j/aT2GAk9g40t1g0jWtuEWgNj7VSoFSqfWUZLZlQ2cT5XoyzuMlF7VdtsrdTDc6NGe1XGBVIL
gjOasHORuDAB32Ri/UAyxrYYO90lzOKhaPQHK/6iDCy8qvLSWNZLLTeneo7utWJ8SVQzc3H0zlSa
+iW0LDYubdhkIQEFcYv/fxaIHaRaugEtd+xK4ThThDmxCFdxkqHXaZWZbWOmn7YmLbmionopaEO6
rxZypSaEuH1HaR+HerAGiakzMU0PoCRFz2zGO70RdvJQQXAw2p1Z9CjvrOxUIoxA1FRBWihzeT21
A+6ruHDrCH1eSTLOOjHC2o1FopP03if4vPsuIeNPjUne1MHw2TcNTKHdpS52J7HIBwcDaLWuIfSP
qHhJF0u2Mnm1RDQOgU1mKzlHYr0Fg4Q8Uhb8NS+a7wxFvxcN8RjyVfBf1l9igFN6r10OgbgNYmN0
dDlek3lwl7XqxpJQhyazfteCHRSz4HNTtK8IYQSQ2jKxfZ2ushRbISKk+SGPq9INZIIbjPIe4V7j
ps1wJ1jwtPhRnCGpUHlKn9xMAjIAMkYo76XiW9YImRMV5UGdrFOiIsJspxF9TzFc/E/2zmO3jW1N
27eyceZlVA6Dv4FmFJWjLXlSoCS6cs519f0sBQeJdh+DApo/cOjBxjbNYtXiCl94Q9O33by3++zM
AmLDWintWZgF6rOvYw02MEKOaV27iCyhLsjZWkIS1KIQhB34jOAGmEHMDAysOWsNEG+L31lt1csU
gwma1GV+0Cuqi5W9fISHw4mOZ+ssCdEbHCXpApYayLW0GGeWmpwGqZqi8EGZMdA0MPjeuHL7bB1h
jCXm2pWuHUrDt0iGcid5aHhZ1Vwb+nDm+xaMlQwApPUNh20ib0v/Vo7ynVM5eCPEpzlOHioCQhOj
kvy5OdAXGZLi0m+qdayj4RIMK1jQh3rjgBEka+K0JDLCZw6NyOGbWpVfPak56rL6gibHSd2GESbG
9WyM+hPNIUZWZIREweuqCCuiBdU4Pl4idf0tl5IEwfVOxSHCWgdF+RVOqUwWACBDzfpiAlMdWSsk
GJHtkWzSPxI+BTSWOaDQ0cbmQ42CHjgXEBVsyEeVVPZE1k2z8Mf2sHa1dqqW3qXp9+swMNCj0+Ee
1EWF1a5HIFLp9DQSc1b4IOpqv7+qDcRY+zCdx73f4dgdqPM0NUoWXcaSsE3cITDQzXr3NBO2Knrj
UguRvCt0b8+y3LlyXP1A6weUfVPBUxziSzfPTz3UexZebce3ZVchpNe1xxIyfQKxwcI2wi/IDNQT
s+2iBduqjuSZf9+nGTq+eoClc3rIhn456Fl7UJADzjgALpBFVSe4d8xacKRLXw6Qrqk0vKLN7BrT
0UPfNfVpVMTHld9eBJAxIOPT9AciBNqgVOapF/PZtr0ysGM5GNPmnsyrmTgopk3UVPVRNSskDKql
b46ucF74ZbC0HekCEbR7U2NtF7FlE0sLt5seUfYURbVTGUXPSZkVt7D/3WltD9gFDliKaEjZAK6U
hT+jujTyVAZsLNeLuM7usaz4ghmIPu3cdIG3BoQlfnJARNgMdxpYqLqXvQWG7IxpG5grUlao8jpC
N+j1sWggvzR6e+MP0UXHmTithbtMYFTYuliGB152YLrBN5o1IX9nx2jF59LYzSI9PEErJyN9xTbH
k7tuIkXmDTzdJbKAj0ZmnIdevumJYaGhhremietLV0pMvSY9ht9XnFrGeML5D3TDSkGPKas6zsup
PqjNPEIT/7aIw3hVYS2iqSx8tDy/SIN+Bh33sSviheOGNxz28lFgVnhL2s6qCrwz6LLXzhgdaFIF
uw6FT1DGpMyD3h24hgZzdgBz3upUZUvE+1TLegj6TAK+jHZRkeXjYsjsS8VNirkh4DUpyPp5ngO4
xg3EXcnlsDapfPJ7tuoiimysPOhR2a50GHjeugTs5kWQqvowX2ZFxuet/DyLWgVJXNnD5Np4yCFI
LVDGu9PlADRSYZ7Ljfk5082lmwtTVk/7FsqdxR6LIZSqAm+ze7BdphUj22xWwst0YPqFMJmVYAAA
MCp3ZtWeUiMJ5lD9IAtL7NowG6m5WkM3NaVwLafqSQTgdVoHbkiKnh8FLd4oel0uhxFFxkYzwmkj
RwchgfaUbh/nnZCyL1T8PrOwjOfQWB5x+UZL0fbKBQUKGW+Ttp1l8kDhYRS7qvklQTkKEwFkIZJC
uvbL7qZ0KBSkgTOFLInHAFhqr7FxQakyVIV1/6rGBnTuxvWq8dBhTmTMrtLm3Is7Z0pS2s2TXEIv
0mQ9wfpY9J4Uz6gUrCQiJ6GOIU87tbrPvQRRfs5zRosjJDwoTFAkYxFsOpI4KTe/mbJ0LWk2h0BC
3hY5EW565INqrD60Q3nkcJJPBst4qFCbRg2jRJhfOXRTDcPYscW7y4y+eElSTcHMq1O7AdUkJQvP
vZdt75jAAMVflB4nShMe5kapCAgwJnVBtnILSNikXXceAhyTpAuvlZLyWN5Il1biIFSdZCvd6b70
xFzo1I6IjOVZOi9qsOKk62T2UcHjIB+KLXCJuFSmY62andv2QLJuFfGUdfcNH3o8aDtyYS/SFnLb
3OYtS9cvlQt8YWjUDNqJZgY1WpJhOaGKcWUG/EageDXCy559ukxPer1MF6WpHyp2/RAmdN6UAFW5
3mcPauSbMQZXOsTXqg5VpqvYUi35np4wk79LtYmDqOYsi5vjvCoXqQzkRh4gsVFaRHbRDDcOsbHf
YsKDDchmTMrD0QHH75XjSlUhzmLBBFvlJm/JfiuiPCti6/MLZqbvoOOcUQqZFY21lPvym+kT0llZ
j7AJMV8bYlcYh7cgzFYAxmZ+lK5x8bgP6+ZM1wsEEwApesDN3JaqKehWdL6sy95X5r0B4Nctsqu+
wi1Rd1aOISFgGSL4rE2HAIfJQUOGAP141NCPyz5bIfg6jQ25VQ+rUBmmhWep0UWcjubtkAUmPX7J
aPkLo87b2SDSYyOXnuE//8lBBZP79znoVVBF5B/N+yRUfO57Eor7oA7aHbnfVyXg7wV97RMyQ0h+
gLnXBA7nRx6q4mYIgFVGqAgy3hNJ76Wgj5MC56JIHYmZRIvA+puCPrLD7/JQePb4/QhSH/6wpujr
/dQhgl8BDrw0s/O+lK1FKk4hnTgEO5XuwLdgzbcDOrsIrMp0vznY5DghdDADK1ohOJzdBolbnZji
wKw0rbgKCdwPIN5Vp13k5o95LfhQ4nz2Y2tA/l0Z8N5zpE4D+yz151WZ1GdFCGhakk0Ia/AOsBh1
lXg2pm56Gnm5g8UBcVIfG2eeopAAeX63HNEguSEUMfArscqrTjWak7ryrRVwWKRtrEaKFoqBzi/Y
7Hria5W6gSQT3xpynB54RoXvSe5W6xa957kv29hgl063tMKuPGr8Nr/oRLDYkMhSQ8xnbafo6NxK
qd4+ZJXn60cKkdEApSOLGvg9dSNtdM8J/VMfP4ACBcQqLc8sP0cUw1N6/8oPHcCkgJgRYa2p0nWn
RF1EgrKnY2+GTn1nW2jHtZBnZobqxcGRKaXSMEG0ZLgPW7WAn945iJa4/Z3ZxdoaXSgjA0lspgtq
WfjvNOgI1102rkXbhvaIGsjAY+E4B57icIi33j0zKZjK6Tiu3cofN2bQ3xL4LFIvOJSEk1+imO20
M8hcpLzjyLSVZlhGkFaOAM0Px1HW51S2naiHoZNJMa5MXgC6u9boebRCvCAqvuhWEK9iR7nRosI/
yKUC91u5ayeGXYKqDyvzygaKv6ql2rnJ5cI8RU9FnmG948jUEA2i3EpGGqiNnXvJ6qRDLUbPKO+T
MzRbpFlZt/2ylaSqn3dxUdSz3g1yNCezajXkbnqJYm6FqPFofvUwrp6NDrt370aAvEPiQnAP4R1k
u2zajdZwXEVjdjc2vXTE5PWmmpV2Z6FXurf2mHQ3qQgvmqwPrqSgz899EZik8FriWUquV02qCjfd
Fsmnel71RjXzyqHjrE8N80Bt1Y0DOwSbhkOr77SLwSxtZN4zU9nkIpgrAhkjx7wyJ3UHevVpC/rP
XqyD8vnDXpzF63SLwpL41E87MZsscHWLOsIbQzQqhbIJwIYmKuQkIUnyqrBkI6PkKEKnzZbh48g0
PF9bqyi5ayghyYglEZP/JSdasUXr9EevnoqgkFYA9CzDWyY6kt/AmigthaXeqMOZTcJ0TqMxuQyU
3LrNYl09HLoouhuU2lrYdSuf0FFwqaq3/kwx2vGz5XT1lS9n8RI7SHYP7F/nllQjBhEUxOqFfBrH
vnPSCo1nQ6g9I7HD51uUW2bo8woyRt4fSLZz2KsjWkw1DDS4L9FD4MqYPqWdO5OHEYk41OO/Jr7v
HWYFnmi6VIczVahRV7adT4dy+OyoxdQXO5SbWIeN0LCuM6k7SoWudZl1wNSF1nUfy2eRUL9ugiia
OmaBRQjS2JrgWmaOVgM4DceaUk0YbvJB6XTkbpMZnpDeN9oNd37vuTRu22kgml8ZZFSye2pUo4NX
KqTzc0/xbuVowLdeKxd6nl4YGQQuslNpWZveiHliox36vmzNY5quCgSXVVDrzgzVIX0Zxak+b1XV
hQdEAZYKA/zlJO+oo7YXYxkSKscVCaqEa6dkoE0UkU2qnnMaamy97cDoSA1nVoD5+Az5dnSKIXXP
BqvLV4VfHTZq+BWPOnTEcdqeIFYYzmEz4SpTjPUUuSp/LnVKOYulSF64pnIQ6hKJTOlNe6NdJnXk
Toaxyddt5oUnfa1vpCiTiRG9bJIYsj3rUvrdoXeFBe0FHsEaiPl+qbbxZxWzMOdYd0h5SxWx8kI5
z1T7s+xVFgwr+iU0oXt2YeQeoH7lfI8pasJxq3t45xr51EqTo0pTNoaRNRCluqvWR3quwk5mGsnU
ipNEPrM85yBNsmWrGcdhj3JLJy99pVGp0Xl4+LjmORZpi9ELzpIxoDxS4/WrE/OOxnBiDPksj6Qb
ABCc/71+BC2adxr3a6KW1GTJtx3ffugt6PnGcFPQhMO2KKdILdyL6xSS9GkR0faaqprZPOiI3kyJ
y0p/4Wb9sdNx5s8t7GiOFbMgsKGQkx3mjqvNEHbpjz3KTav/bMbPOhWEqn/YjOs1tnExcmdbQmM+
+X1Dlj8JlXKYCeqr4ub30Fh4diNTodPhferR/Lwhy4DnVXTtLEjMTwHr64ZsofupY14PqdFE/Mn8
K51O2j1vN2SwLgBuEGlSdHZCWYACfwqNJVvSorKPs7NmMKPxBCFNIzxVdDlU53Wd4LUUFG09TWLj
1KAxAvjhQSc4nZdqct0qAEASJTku1PIuHrLDuEovAzSQaonqthbizG0YJ3mfRdPU6pb453ioE0fH
REtfxjDdOAH21FmrVth5mdmF4Y0LJcHdwafb0kC2o04BfT2uwxOCT+jxNhRnrU2VezSsJ9S2vRgb
otZWVrKllcGhGpm1t4xwaRonMr4YNONzDcsbV5IJ3wSz2MIHZ1lYGOPG8KWvNbemA+xSHGgQjCDk
PS7DoLoLqefNGkBu6qJt2pDyahMeWdhThVMoIFVHHE2+6lR2GR5EqdWO86JE7m+ekAJ5QCf6+wbx
wEkXp1+s3GiozopmhQMeMDDXuYtcoNUV/UVox92C4+GE46eYqlVNG9kP5sWIII3voHbttjeq7H6W
SNVrS7psrWSatt0KCYQZXsTHfWeg9WsCHsrNaRmrl0MVrGlrHaEILU2yujkhMyc4l/ID24f9XjrK
ZdtIK1OhMuwWp7aXf1O1EmHM7oCCw2FnJgeeWxx7DlxitT9tsvKeUsKl48cHamjeRPTXfMNCh8k7
M33CQ7SLruIcF8g0mMW5vOyM6rKsbYjXWE+a+pfEIvh37LVjV3DMO3oHiaaiIPotVeh3xeap1jXz
Dh8xPR+nClAVN6jOnai+w8N4ZjX2LJcot1n+KeZxZzaIHti0p2mFg0ivfhlx1WjVcKIn6Sm/5TQP
uwUGXqd0+k4rzcEp3KDWVx+GRrjMTfmraoQLnEZPcq2+9zL0C8RP71nONbYtOKorS9vsceumcoJL
6mmj+uBZwtPSVC8KKnn1KN0YvraK8b8TZU128GRVwdQDnz9x3GLjYOXSpvEXK/RvMtm/rH1p4ebG
sabbC7VJTuWwxX99UI47vb9vuYmpkyqzKFWOcQc/tC1wT3597FnKglD8qOv9VVZh72EP5aa0VIho
/WU5RM7E9VrjwjLKZWB2/qnp6ggXqslZGcOzTKIY8fdAzdA3FQntxOiLMxmkTacwpRphudYCwikE
HCcHlzOAz8EaFDtm7dgCt9MLAE+P014bx9YMIuTXOhyYfoB98txd9gL+I2nu17GMTzoBDLKT5hpd
xrkmadYkEuAhCL0B3uUCUCSgRZKPhkzeSulc9ZUTV9cvdQFEkvSknoQCnERycR6CVqr0BN4N8KXc
jyRgCla4KHrlpAbjBBJoalDKlLuqmTM7+LVUAigs6s4LF3pUClZKFaApf6iOYlBU0GuPNVBVCuiq
hFp3LuBWXZE8UKHlxxilmSogWaEAZ2E9e2HE9gpna21WCgBXKqBcKHPVorU8zQTMS/UNwEIgv9Cy
oGUGFoxc7rYW4LBBwMSkZDxtwI314MdMASSTbHA/OdIGvbD+ScP20gR1hi39oWTAE5WaeBEPKW29
oDsBIIn3qQCtJQK+5gggmyogbV0ADThshuNMwN1MLTiLouKmNSmBohp57ZkG8x2pnhSsXGtHZ5Ry
lSlSPKi/lOGNI4B1OA8h1CnAdlgaxke+YUb/AWY8a1QZVIh+f/ZfN2BcN+/PffGp13MfPVsHqVsA
FioYCDRM/vVD6lbIRmoyvLgnOdufSmKa+YkuoUBgGLLMmSzY6a/nvvFJ5Gz4D5jMLOyclb8piaHs
9+bcR0eXkpvMPVB4A6JBNe/nc5+dXi6IYRGOjMGG9kHzleweLkZEMUJu49lQxl8MxQ2mQ+aeBKXd
zQylw1gvbc/Rf1pZjgsAnzoOyqrFrJKCI7+hLWWRP2VqcCXL0WNL53QqZS29FqnDbb1TTzAApJUn
m940qfKztJe/dBQy1Eq/dQqcJm3f0RcuxpATRxoXsS5J86Lz8ZNAGRfXPIwj8vAzKNev+ZDdtD54
g6yu0Gkwzc9lUa/SPv1SO9IXNx2OfNOilBectJF/jHPy1ypDEzNwrPNSMx5iFKvnCQ82AUdnLrE6
hryQ3SUDKiB6qI1cVqhpxt0BMrQ3gwqp1au7ha6P4PdCDZ5sF8STSLIfC781ZnCajqs6vu7AfUxt
z5gbkX2ZBc5jUTnnwAgx1Sjoy8teWM/djrpY3pK4pQ9und25hXpWZekD5VVnSo3SmzdpZx1UVnJO
WfBAmLbqofc1VlH9yWMbHQEziiddnj10inMSSdgwJUOJ7Al7IBItibMgXkO+SbGO64qUTnehMJNo
BHlJg61byGV36DnOgacal8PYYm4ZbjCQuNYCb+lq423ijclMFsU7fiRHxkGx6yz2QBkEg4o654UJ
E9t3+m8chdmM0Ar0qitPmzLErUtWv+iecanXA/K6QXSte+q3RjXb1RCIjyNgs0Bp/DaRmoMq84nJ
DJNDGg0jt6nDJdIPd5lO/13Nm1M2XRmHWgvDcoVsTSY9NMdoIVsoYlDLWha1j0BYlOOgnPOrAcdD
DsgwQQYFGp05e2EGVbV0K/pttBQPhUbKrGTPnxjdeGkhQtGlBAj0d3DLdQX6A4yzXPdUBMcKjn7D
jDMozk3tkUk8VPyGiZp7864crzKv5FtTmzZUu3Dl5mq0tcOgA0hpqbhGVoXrzbwYwGDbRA911t/a
oLyQAM7vZSXDXzJzp2XXAy6VgwNyNGmKTfaBnErhTLKidCrLGWIM8lKRMdjAy9Q5IIAcJlprb5Kw
OAbO0U7yKszn4HtWpjcMM7Vp0zmdlpusMA5dgUJlNiacGfV91TicM6ViouECIhU4lnqkpxESHxSE
vFWsOr42i6Lui2qjfjQvpcoPPjMMbn2m1pbXzc3A0Bamm8jptUXTP8ObLR/pOpWxkMiwE+scpFZA
wlsE/rlW9N4dEjvzKmYKTYT+8WmO2hFgaKI/3Lhlzj/fcrwrv5Dp0TtGfyHHEu7CRYC1mUU+Tcc7
Hme9bVbFqrFkl3560D9JRmtxMqsGDSR+DGLY7AtErjX1NupkOTiJUWZjn4l9Zdab1oPsNU1IUjGU
8GM6oGGoXke6UcyBUlnetVxbcXWnuq1H20obCfZAJ5ju18gIfP1EVstEmsRO3+T/OS5fjss/1i3v
mvv1lsPy16olrSBaMyAOn/kb3w9LuCLkzTIyShqiLWTLP5Jkh3cclI8svCvfmFnYnxzF1hSHt0hr
9b/zn9Tkt4cl30FZ1BRHMyR/qqu/HpZxXaL9lfXyWR1mt66TYqUcadKRiqgb+Aclp/SGjGqT6s5p
HyFIl4HgRYFBPywzI8W3ADhQoDvGcVmOzUS3I1TTOnPZds1VbPf5STlKhMmyDrjxQWkjEFFJR50Q
tPNodivHtReBBVUkZ49uhOVS6mANaXX6TZeWB3rgp9cI5+I3mOcPuCCAI89vSgUPPSJ71JO94iEe
nGiWVcAniq476PO+ByCT+ekFnjhLJdQB6GnmkWt2zrzuZHeadBJcfUWoEsUFxax6bTXeg5vY3QJP
QxwbhrxY2amDRVYmXYKHjs8dBCcBghNxogyEzOBgWTM3AMrjSbSqUxc3bRrdbFraYxWYF75BBlpj
KU3Efxuo2nWdOflMCtVNHhk97lveTcmuFlC0bExwHcmoHLiF80hgkaIk4yOn1l+kMh0PU71LUu8o
HJ1rJczBgY0Co6nK17kVqpORH6H283qKgy2i8zUq9U2FsKVV3dKrgrWBcsqk4OCAOHJux7qCLmNw
ETgAR6QEJajDYUAfkWj9m1zmh7Ipss3gqB0yb6WF1WVjOuWkpzM9GUtQCpYZT0IzJlrJ45kFhmxS
SBLNstRRLRCNWIlEB3ZWJvMgrewzR82HZZza6qQ1w5WSFg6g7HKjFq08wZDZu5AE4mwMjAeH8uNp
MajfYmqC5oROpjwDRu6cYqMJyT5FK8qNUHhCbSNapGyGh16UnflQdaZybJ/BOqmn+BUDfhtADEZk
LpVCzFOqpzRrUkAoOGbVgQ6CqYHAoxgo1PSgLwDCfDVz/3MUwXQpG7SiVD9Fchp+T4VhyiROwwwo
HaX5YJgobnafeO6SVEg/BAp4odj5N91Hx83vl03R29MUwempXJeYwMTFKjeTw742ENrRzgYlOiMy
EGL4YDPkLPwid+6NkUjVQR0h0e9L1k1Ze4jxKeqxm6sIednAF4siCenaypfJUB/KXbAsovAyCHA8
beK7Ti7v6QJkUyVSUKwBqGOXUTODjSIUklPwTwyuoUuHGC5DG5QFowlvUAAo1rFcKA/IN2uzqh6+
5JpKg1hB9aDi5MO8AS08dOcid5TJ+eXTLu7ufcZ6bmq5O03NoCAEzm+1ND9x8N007WwR0p1Fcs19
qOVuYZUC5Bh3xZQib0YZu0HILiqmg4NKYjoYj3VnnHSFSu3cDo8LF+BLkCeUn1F9xsLgqx3i2Jyk
N0o0flYQVeT+YjrZxsTpnJNSsAi44Zk3th2KXxHqMcQaeLReVo72daid/IyGbDzF4KU/lKJBWmVJ
B+yG7nUbFVc6bV4/jy5tMzXgepEyYw7jVivX4ipj6RsHiaXP0VJtZqEmxaskUS9CGWynTeedWK2i
XZBZ0RSOP2xcQGtQJqyzMKOXgKRrPIOoBsTWo/ylyvLENeQHe1ReuPP/H/QHX25xq3/Ud1l/8e55
Bor0Opu/daD6t/7RK7lx+4Ve6AL/niGVzlH3S6L7dGNPllh/vE68Bu3XPGJ5pemfdNicMAoU5/n1
r39wlfde3pYUXBLAqGnCOeD1fb7xp5H63Vj8+THfO3a9v84fH+Etq0KkwDsOxZPttQPQxXp+UtL3
X4ZCVUXx3gbfxTt7OQjv/MT/fj7QTKY9wWNSYRAveLq/DgJtD0f80XA45UVl5P9+KH6OT2kO0yX5
66nAY/5YFNYn1dA5UoE+vT7kL4MgFoVioVUFsePptQ+DIMpXb6hGwtftr0eC6/w0FM4nBeF/wTfa
PhTQlFQ8AWhNMVP+72fCu0EQN7/zIFgY7+nU88hYnl7vFgW8dzqBloCm7eEYiHLkzmPg8DvjZYzu
2PNEENPk54OC3RGmA6fECyRx/44I/XnbfpZU+X76/tVpiQ21Tj/SQMjg6fVuEBQGAQEEEDr7OhN2
DxmwVHIYAsUQa4vX23OS3RGckGUY1vOs27+Z8HJq7TIT7E+ijw9BkGf8dR3IPL2K4xQ25uK1Fwfk
u22RRbz7tkgnBCtAZHipqPw6BkRKVE5YKHu7IT7f2C4zgKdXQCRDk92+DKh9GUQRCrYW+7oXgLTe
MTyw+aFNFa80ul7i9W5DxMqFUJJxei4y7t9e8E4V5+9jZuuTxmbAisd2SrzebojMhCeEDoTqfZ0J
z7/ODstBVz5ZBhVWlXbk0+tdjKQTQOgaMdK+7gn67nuCCQMfwyIZx4Cn17uZQJCk2nDznX1dDvJz
GL/DTNDsTxZaBngDPI+BiL9/PR04IUX72jbMpz1jX7dHoaW64/aofxJCiTQzXuJFNtxfhgKcgerQ
xxfGBvuZODzHsbtMB1ARIB4MxMZf5sPbMSBctA3+CBXFvRwEITG220SAEiV6YzrOoW+eXmWK0DST
yS6fh2dfx2D3UoLKslexh8R/8+n1bjEYn9CUY6IQV4vXvu4LwqZ1t+mgUVXBlZa46WVNvDsn6JuC
PEJEb1/PCeUjDkuwy2QQ1ksA/facUERw6Zio4jxvQvsXOyq7B9DGJzRzRRLxPOfFpP/1hMAmkZCK
6bKf9TVIQR9RecdQmaKyKOL/8vREzrxh0bPf181A2z1eAmuIJoSu0oh5er3dFxkE1cEI03GeS2/7
OhTK7vGS+Yl5TiVVp4j/9HozH0ThnffYN/d1NbwEMbsETKx4zkhLJqF8er3LqVXwMYaCJ9beHg7P
N7bDIBAw6RQYbedlTcjvFgWFBd4WFJw9jZiE8vLOYYIDNIpM6iVM4FF/3R5h2jMIcEb3NnTefXvU
P6EFCbf1dU94GysRJoiKO6fEcw1qb7fHj0ilKLZRVLVeejBvgwWMk2WT3u2T6PF+plK7x84cl7gu
MQQv9YW384FGlDBVBtKwr2HjSwVsh+1Ro+QomwhGmr8rObJ/IkjGmtijNj0H2bsO9e6bpMWTwm43
7Jej4u2iIGbAi8Oy4au/xhR7uTSEyOeO54WJbzqRtIaI4e8iSVD5KAjsbaNa+EbsNggUonXniRnz
UoN9V3GRPxFs07V5yd72L600no+wHfYHUW8ikmaXfBmEd5EDMSTpFqiufT0u1d2zCQIDmtDf98h3
WCZ2BsRB0RZ66YXu30wQ5cLdlgPVeBWiuU7K9Js9AewKcbTM/vn0XXs4CLvHkPzQ6JUgIfUSOL3L
JsBtKCBX9rfeJsiEO84EtLxE1wWRr+dz8G3gRDMCLQNaU3tbeRX2fzsOgo3ZyNMwvED7ts0EQdGE
G7zX0YKgpO44FBocV9lApPp5Y3hfeiTIFPQcFNz2dGfQdo4W4OzaBpV2sqrvv/evKTbhhKzK9G72
tdgiTNh2nAn2pxc9kt/FjbRukKHXCbT3dSbsHjw/PaNlPJmK/zIF2BcVU7Pp4r7MkT0dg5cZukPY
KIIFuk4ofL2UHt/mUgLkqTu2Ie/tatB2j5gserXCPYHI8PUI+GU+MAiU6vHfFXI8rLz9i5hecEY7
zAQB59F4RLiZvx0EExAo+p/Pe/D+DYJQZthxXzQIjZGfp8b6fES+Ww4UoTk9gfjt60wQVsY7DoKQ
wgCkQv/pt4Og2aqiYBGyp8vhZZ3usByot3H2wR9+PQK25NOkklAlXuCE+7cc3omi/D3Oke6cJiuU
2X4zE0Q+7Qik48us279B0HdeDlRWwLUTDmi/Q7yqSMaB+mLj2NPloO9eWQH7DKsfzNJzdXlbd443
4RUSKojXvhaZhNvobtsj8wG8kkmL6jfwNqIF0M+kD2Lh7PNQ7D4rQPjym2uI0D7HDO8KDGJ/ILU2
hU7hXgZOxu7RoyDMKYDYqCo+vd5176EF0LkXZqj//iD8Gzvpd+7x1A/ixydqcrCpnthNz2Tb//Uf
vDJ231/gp7bNE73yl38pqMrP135u7oj//6/1YxKks6Cqy+ChVp9C5J/efQ2Zn77p5fMvj/j+y3/5
stfnev3Lg2BTrssHhAieqI8vN3q6TuA2/3fMfx7Xb5tOovr1+nfbadbfd4Q/Xx3Dss3rhX7Yuwn5
kR+P+v/+9etI/LTd/PHiyfoxK18v9NPF2Uh3vvgE6cRtN/69PbfDqEzX8brlJ6le7/One2e+73zv
U8wwqnc/KYcMu9cHXDyty/U/06yqt30FJYadv2K2if85zcqt48/es/P15/E/s6xk8rxe66fxJ2bd
+fqLclNtUzEXO/rOF1/GmzR9vc5PN/4Ry/WgSe6z+LF+f3mB7t751ldJvimDdfx6qR93r3zEkl3h
b7Xl0h+xYo825ZYxF73RnQflKEi9LRuBwAnufO3jdbRlDxPouw+4dFVtto3JRyzQ46z6579TbxNv
to3MRyzRk/UjG/DrOPw0ET9iiZ6ssTXdcu2PWKLi2nm2bXdXP2KJnmzSx+wh2LZ7CYbmztPmZFM+
bB5fL/Rj3AXaZ/eLZ9z763V+uvZHLNOTbOuYfMQq5dL1ptwMW+78I1bq6TrfMtFF4r3zgJ9u2vX7
2BGTjY9Yomflmi3g9S5/+jk/Yomex+uHzZbYUdQodx6W87hJtgV3Auy688UvA0LHKnjcMjKi3bnz
9a/WDyUpQVpvOUuFdM4HfEH6z2SDIOi2L/iIpXq1Fl9QpuvycetGJiiLH/IUs2DjbXuIj1i14iEW
rICHoHrY9h0fsXzFdxxm66LZdloJzsaHjNJxE1T/nN0HVb7tOT5iMYvnOFnXm23X/4j1zPXr9T+T
dXm/3hYzCIGxjxgpvmOK6vaWzVrUyz/qG8pmfL3Yjz1VsLp3/wJ/vTUnFPXk3S9ODWPr0HzIYv6z
BeBT1WSHfP/qT65Wu188zZJtc+ZD1u//ZgGz892LMsuWc1jQR3eeM9cbf71taERBe/eLE+MH9Zag
TQBTd7/6n/T3dx3064YCUbKtLid6Ujvf+2eu0Gxbq8ZHrNW7LN6yzwt+5c43/gcV5z8P+bay7HfI
w/ti7auu47aP/VqLFv/iId6sy//6HwAAAP//</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42</xdr:row>
      <xdr:rowOff>169333</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9667" y="0"/>
          <a:ext cx="13356166" cy="784225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clientData/>
  </xdr:twoCellAnchor>
  <xdr:twoCellAnchor>
    <xdr:from>
      <xdr:col>0</xdr:col>
      <xdr:colOff>10584</xdr:colOff>
      <xdr:row>0</xdr:row>
      <xdr:rowOff>0</xdr:rowOff>
    </xdr:from>
    <xdr:to>
      <xdr:col>3</xdr:col>
      <xdr:colOff>10584</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10584" y="0"/>
          <a:ext cx="1989667" cy="7736417"/>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2</xdr:row>
      <xdr:rowOff>63500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192616</xdr:colOff>
      <xdr:row>3</xdr:row>
      <xdr:rowOff>99195</xdr:rowOff>
    </xdr:from>
    <xdr:to>
      <xdr:col>2</xdr:col>
      <xdr:colOff>129117</xdr:colOff>
      <xdr:row>6</xdr:row>
      <xdr:rowOff>162695</xdr:rowOff>
    </xdr:to>
    <xdr:sp macro="" textlink="Sheet1!G4">
      <xdr:nvSpPr>
        <xdr:cNvPr id="5" name="TextBox 4">
          <a:extLst>
            <a:ext uri="{FF2B5EF4-FFF2-40B4-BE49-F238E27FC236}">
              <a16:creationId xmlns:a16="http://schemas.microsoft.com/office/drawing/2014/main" id="{CCD6C6C9-24D7-CC7D-30EC-6F76BD715715}"/>
            </a:ext>
          </a:extLst>
        </xdr:cNvPr>
        <xdr:cNvSpPr txBox="1"/>
      </xdr:nvSpPr>
      <xdr:spPr>
        <a:xfrm>
          <a:off x="192616" y="755362"/>
          <a:ext cx="1693334"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787884-5665-4CC1-93A1-8E1E178AECBA}" type="TxLink">
            <a:rPr lang="en-US" sz="3600" b="1" i="0" u="none" strike="noStrike">
              <a:solidFill>
                <a:schemeClr val="tx1">
                  <a:lumMod val="95000"/>
                  <a:lumOff val="5000"/>
                </a:schemeClr>
              </a:solidFill>
              <a:latin typeface="+mj-lt"/>
            </a:rPr>
            <a:pPr algn="ctr"/>
            <a:t>11</a:t>
          </a:fld>
          <a:endParaRPr lang="en-IN" sz="3600" b="1">
            <a:solidFill>
              <a:schemeClr val="tx1">
                <a:lumMod val="95000"/>
                <a:lumOff val="5000"/>
              </a:schemeClr>
            </a:solidFill>
            <a:latin typeface="+mj-lt"/>
          </a:endParaRPr>
        </a:p>
      </xdr:txBody>
    </xdr:sp>
    <xdr:clientData/>
  </xdr:twoCellAnchor>
  <xdr:twoCellAnchor>
    <xdr:from>
      <xdr:col>0</xdr:col>
      <xdr:colOff>139700</xdr:colOff>
      <xdr:row>8</xdr:row>
      <xdr:rowOff>105440</xdr:rowOff>
    </xdr:from>
    <xdr:to>
      <xdr:col>2</xdr:col>
      <xdr:colOff>76201</xdr:colOff>
      <xdr:row>11</xdr:row>
      <xdr:rowOff>168941</xdr:rowOff>
    </xdr:to>
    <xdr:sp macro="" textlink="Sheet1!H4">
      <xdr:nvSpPr>
        <xdr:cNvPr id="7" name="TextBox 6">
          <a:extLst>
            <a:ext uri="{FF2B5EF4-FFF2-40B4-BE49-F238E27FC236}">
              <a16:creationId xmlns:a16="http://schemas.microsoft.com/office/drawing/2014/main" id="{210E7A0D-B4D3-40AD-AC24-373CAAB20493}"/>
            </a:ext>
          </a:extLst>
        </xdr:cNvPr>
        <xdr:cNvSpPr txBox="1"/>
      </xdr:nvSpPr>
      <xdr:spPr>
        <a:xfrm>
          <a:off x="139700" y="1661190"/>
          <a:ext cx="1693334" cy="60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96BD69-E596-4BD7-B205-F2997D0DC832}" type="TxLink">
            <a:rPr lang="en-US" sz="3600" b="1" i="0" u="none" strike="noStrike">
              <a:solidFill>
                <a:schemeClr val="tx1">
                  <a:lumMod val="95000"/>
                  <a:lumOff val="5000"/>
                </a:schemeClr>
              </a:solidFill>
              <a:latin typeface="+mj-lt"/>
              <a:ea typeface="+mn-ea"/>
              <a:cs typeface="+mn-cs"/>
            </a:rPr>
            <a:pPr marL="0" indent="0" algn="ctr"/>
            <a:t>40</a:t>
          </a:fld>
          <a:endParaRPr lang="en-IN" sz="3600" b="1" i="0" u="none" strike="noStrike">
            <a:solidFill>
              <a:schemeClr val="tx1">
                <a:lumMod val="95000"/>
                <a:lumOff val="5000"/>
              </a:schemeClr>
            </a:solidFill>
            <a:latin typeface="+mj-lt"/>
            <a:ea typeface="+mn-ea"/>
            <a:cs typeface="+mn-cs"/>
          </a:endParaRPr>
        </a:p>
      </xdr:txBody>
    </xdr:sp>
    <xdr:clientData/>
  </xdr:twoCellAnchor>
  <xdr:twoCellAnchor>
    <xdr:from>
      <xdr:col>0</xdr:col>
      <xdr:colOff>86783</xdr:colOff>
      <xdr:row>13</xdr:row>
      <xdr:rowOff>141790</xdr:rowOff>
    </xdr:from>
    <xdr:to>
      <xdr:col>2</xdr:col>
      <xdr:colOff>23284</xdr:colOff>
      <xdr:row>16</xdr:row>
      <xdr:rowOff>152372</xdr:rowOff>
    </xdr:to>
    <xdr:sp macro="" textlink="Sheet1!I4">
      <xdr:nvSpPr>
        <xdr:cNvPr id="8" name="TextBox 7">
          <a:extLst>
            <a:ext uri="{FF2B5EF4-FFF2-40B4-BE49-F238E27FC236}">
              <a16:creationId xmlns:a16="http://schemas.microsoft.com/office/drawing/2014/main" id="{AEC14D80-8D6D-4527-890F-F37A39B1CBAA}"/>
            </a:ext>
          </a:extLst>
        </xdr:cNvPr>
        <xdr:cNvSpPr txBox="1"/>
      </xdr:nvSpPr>
      <xdr:spPr>
        <a:xfrm>
          <a:off x="86783" y="2597123"/>
          <a:ext cx="1693334" cy="55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2FA769-EC69-4DB0-B0E3-591908E46D5B}" type="TxLink">
            <a:rPr lang="en-US" sz="3600" b="1" i="0" u="none" strike="noStrike">
              <a:solidFill>
                <a:schemeClr val="tx1">
                  <a:lumMod val="95000"/>
                  <a:lumOff val="5000"/>
                </a:schemeClr>
              </a:solidFill>
              <a:latin typeface="+mj-lt"/>
              <a:ea typeface="+mn-ea"/>
              <a:cs typeface="+mn-cs"/>
            </a:rPr>
            <a:pPr marL="0" indent="0" algn="ctr"/>
            <a:t>$1.5k</a:t>
          </a:fld>
          <a:endParaRPr lang="en-IN" sz="3600" b="1" i="0" u="none" strike="noStrike">
            <a:solidFill>
              <a:schemeClr val="tx1">
                <a:lumMod val="95000"/>
                <a:lumOff val="5000"/>
              </a:schemeClr>
            </a:solidFill>
            <a:latin typeface="+mj-lt"/>
            <a:ea typeface="+mn-ea"/>
            <a:cs typeface="+mn-cs"/>
          </a:endParaRPr>
        </a:p>
      </xdr:txBody>
    </xdr:sp>
    <xdr:clientData/>
  </xdr:twoCellAnchor>
  <xdr:twoCellAnchor>
    <xdr:from>
      <xdr:col>0</xdr:col>
      <xdr:colOff>0</xdr:colOff>
      <xdr:row>18</xdr:row>
      <xdr:rowOff>155324</xdr:rowOff>
    </xdr:from>
    <xdr:to>
      <xdr:col>1</xdr:col>
      <xdr:colOff>1460501</xdr:colOff>
      <xdr:row>21</xdr:row>
      <xdr:rowOff>140507</xdr:rowOff>
    </xdr:to>
    <xdr:sp macro="" textlink="Sheet1!J4">
      <xdr:nvSpPr>
        <xdr:cNvPr id="9" name="TextBox 8">
          <a:extLst>
            <a:ext uri="{FF2B5EF4-FFF2-40B4-BE49-F238E27FC236}">
              <a16:creationId xmlns:a16="http://schemas.microsoft.com/office/drawing/2014/main" id="{8EDAF64B-AE95-4BCE-AB49-D622B096E767}"/>
            </a:ext>
          </a:extLst>
        </xdr:cNvPr>
        <xdr:cNvSpPr txBox="1"/>
      </xdr:nvSpPr>
      <xdr:spPr>
        <a:xfrm>
          <a:off x="0" y="3510241"/>
          <a:ext cx="1693334" cy="524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3A1314-0BA7-41F6-BAA7-769076F14639}" type="TxLink">
            <a:rPr lang="en-US" sz="3600" b="1" i="0" u="none" strike="noStrike">
              <a:solidFill>
                <a:schemeClr val="tx1">
                  <a:lumMod val="95000"/>
                  <a:lumOff val="5000"/>
                </a:schemeClr>
              </a:solidFill>
              <a:latin typeface="+mj-lt"/>
              <a:ea typeface="+mn-ea"/>
              <a:cs typeface="+mn-cs"/>
            </a:rPr>
            <a:pPr marL="0" indent="0" algn="ctr"/>
            <a:t>3.2</a:t>
          </a:fld>
          <a:endParaRPr lang="en-IN" sz="3600" b="1" i="0" u="none" strike="noStrike">
            <a:solidFill>
              <a:schemeClr val="tx1">
                <a:lumMod val="95000"/>
                <a:lumOff val="5000"/>
              </a:schemeClr>
            </a:solidFill>
            <a:latin typeface="+mj-lt"/>
            <a:ea typeface="+mn-ea"/>
            <a:cs typeface="+mn-cs"/>
          </a:endParaRPr>
        </a:p>
      </xdr:txBody>
    </xdr:sp>
    <xdr:clientData/>
  </xdr:twoCellAnchor>
  <xdr:twoCellAnchor>
    <xdr:from>
      <xdr:col>0</xdr:col>
      <xdr:colOff>0</xdr:colOff>
      <xdr:row>23</xdr:row>
      <xdr:rowOff>61384</xdr:rowOff>
    </xdr:from>
    <xdr:to>
      <xdr:col>1</xdr:col>
      <xdr:colOff>1460501</xdr:colOff>
      <xdr:row>26</xdr:row>
      <xdr:rowOff>21167</xdr:rowOff>
    </xdr:to>
    <xdr:sp macro="" textlink="Sheet1!K4">
      <xdr:nvSpPr>
        <xdr:cNvPr id="10" name="TextBox 9">
          <a:extLst>
            <a:ext uri="{FF2B5EF4-FFF2-40B4-BE49-F238E27FC236}">
              <a16:creationId xmlns:a16="http://schemas.microsoft.com/office/drawing/2014/main" id="{B7A6C5E5-5C0D-4CDA-8373-D405A465BBCB}"/>
            </a:ext>
          </a:extLst>
        </xdr:cNvPr>
        <xdr:cNvSpPr txBox="1"/>
      </xdr:nvSpPr>
      <xdr:spPr>
        <a:xfrm>
          <a:off x="0" y="4315884"/>
          <a:ext cx="1693334" cy="499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9E5923-6709-4285-AC6A-D667BDC1BE91}" type="TxLink">
            <a:rPr lang="en-US" sz="3600" b="1" i="0" u="none" strike="noStrike">
              <a:solidFill>
                <a:schemeClr val="tx1">
                  <a:lumMod val="95000"/>
                  <a:lumOff val="5000"/>
                </a:schemeClr>
              </a:solidFill>
              <a:latin typeface="+mj-lt"/>
              <a:ea typeface="+mn-ea"/>
              <a:cs typeface="+mn-cs"/>
            </a:rPr>
            <a:pPr marL="0" indent="0" algn="ctr"/>
            <a:t>1.9</a:t>
          </a:fld>
          <a:endParaRPr lang="en-IN" sz="3600" b="1" i="0" u="none" strike="noStrike">
            <a:solidFill>
              <a:schemeClr val="tx1">
                <a:lumMod val="95000"/>
                <a:lumOff val="5000"/>
              </a:schemeClr>
            </a:solidFill>
            <a:latin typeface="+mj-lt"/>
            <a:ea typeface="+mn-ea"/>
            <a:cs typeface="+mn-cs"/>
          </a:endParaRPr>
        </a:p>
      </xdr:txBody>
    </xdr:sp>
    <xdr:clientData/>
  </xdr:twoCellAnchor>
  <xdr:twoCellAnchor>
    <xdr:from>
      <xdr:col>1</xdr:col>
      <xdr:colOff>208492</xdr:colOff>
      <xdr:row>2</xdr:row>
      <xdr:rowOff>42333</xdr:rowOff>
    </xdr:from>
    <xdr:to>
      <xdr:col>2</xdr:col>
      <xdr:colOff>0</xdr:colOff>
      <xdr:row>3</xdr:row>
      <xdr:rowOff>158750</xdr:rowOff>
    </xdr:to>
    <xdr:sp macro="" textlink="">
      <xdr:nvSpPr>
        <xdr:cNvPr id="11" name="TextBox 10">
          <a:extLst>
            <a:ext uri="{FF2B5EF4-FFF2-40B4-BE49-F238E27FC236}">
              <a16:creationId xmlns:a16="http://schemas.microsoft.com/office/drawing/2014/main" id="{08D2BE97-2547-8E32-4720-01541E7AC4C5}"/>
            </a:ext>
          </a:extLst>
        </xdr:cNvPr>
        <xdr:cNvSpPr txBox="1"/>
      </xdr:nvSpPr>
      <xdr:spPr>
        <a:xfrm>
          <a:off x="441325" y="518583"/>
          <a:ext cx="1315508"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t>
          </a:r>
          <a:r>
            <a:rPr lang="en-IN" sz="1200"/>
            <a:t> </a:t>
          </a:r>
          <a:r>
            <a:rPr lang="en-IN" sz="1400" b="1">
              <a:solidFill>
                <a:schemeClr val="dk1"/>
              </a:solidFill>
              <a:effectLst/>
              <a:latin typeface="Abadi" panose="020B0604020104020204" pitchFamily="34" charset="0"/>
              <a:ea typeface="+mn-ea"/>
              <a:cs typeface="+mn-cs"/>
            </a:rPr>
            <a:t>Orders</a:t>
          </a:r>
          <a:endParaRPr lang="en-IN" sz="1100" b="1">
            <a:latin typeface="Abadi" panose="020B0604020104020204" pitchFamily="34" charset="0"/>
          </a:endParaRPr>
        </a:p>
      </xdr:txBody>
    </xdr:sp>
    <xdr:clientData/>
  </xdr:twoCellAnchor>
  <xdr:twoCellAnchor>
    <xdr:from>
      <xdr:col>1</xdr:col>
      <xdr:colOff>123825</xdr:colOff>
      <xdr:row>6</xdr:row>
      <xdr:rowOff>145474</xdr:rowOff>
    </xdr:from>
    <xdr:to>
      <xdr:col>2</xdr:col>
      <xdr:colOff>92075</xdr:colOff>
      <xdr:row>8</xdr:row>
      <xdr:rowOff>143827</xdr:rowOff>
    </xdr:to>
    <xdr:sp macro="" textlink="">
      <xdr:nvSpPr>
        <xdr:cNvPr id="12" name="TextBox 11">
          <a:extLst>
            <a:ext uri="{FF2B5EF4-FFF2-40B4-BE49-F238E27FC236}">
              <a16:creationId xmlns:a16="http://schemas.microsoft.com/office/drawing/2014/main" id="{B36B96BB-A7E8-45CA-B15E-D2881F35278B}"/>
            </a:ext>
          </a:extLst>
        </xdr:cNvPr>
        <xdr:cNvSpPr txBox="1"/>
      </xdr:nvSpPr>
      <xdr:spPr>
        <a:xfrm>
          <a:off x="356658" y="1341391"/>
          <a:ext cx="1492250" cy="358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Abadi" panose="020B0604020104020204" pitchFamily="34" charset="0"/>
              <a:ea typeface="+mn-ea"/>
              <a:cs typeface="+mn-cs"/>
            </a:rPr>
            <a:t>👕</a:t>
          </a:r>
          <a:r>
            <a:rPr lang="en-IN" sz="1100"/>
            <a:t> </a:t>
          </a:r>
          <a:r>
            <a:rPr lang="en-IN" sz="1400" b="1">
              <a:solidFill>
                <a:schemeClr val="dk1"/>
              </a:solidFill>
              <a:effectLst/>
              <a:latin typeface="Abadi" panose="020B0604020104020204" pitchFamily="34" charset="0"/>
              <a:ea typeface="+mn-ea"/>
              <a:cs typeface="+mn-cs"/>
            </a:rPr>
            <a:t>Quantity</a:t>
          </a:r>
        </a:p>
      </xdr:txBody>
    </xdr:sp>
    <xdr:clientData/>
  </xdr:twoCellAnchor>
  <xdr:twoCellAnchor>
    <xdr:from>
      <xdr:col>1</xdr:col>
      <xdr:colOff>81493</xdr:colOff>
      <xdr:row>11</xdr:row>
      <xdr:rowOff>172888</xdr:rowOff>
    </xdr:from>
    <xdr:to>
      <xdr:col>2</xdr:col>
      <xdr:colOff>49743</xdr:colOff>
      <xdr:row>13</xdr:row>
      <xdr:rowOff>148427</xdr:rowOff>
    </xdr:to>
    <xdr:sp macro="" textlink="">
      <xdr:nvSpPr>
        <xdr:cNvPr id="13" name="TextBox 12">
          <a:extLst>
            <a:ext uri="{FF2B5EF4-FFF2-40B4-BE49-F238E27FC236}">
              <a16:creationId xmlns:a16="http://schemas.microsoft.com/office/drawing/2014/main" id="{C851F328-8007-48E2-A795-CC5B0B5364FC}"/>
            </a:ext>
          </a:extLst>
        </xdr:cNvPr>
        <xdr:cNvSpPr txBox="1"/>
      </xdr:nvSpPr>
      <xdr:spPr>
        <a:xfrm>
          <a:off x="314326" y="2268388"/>
          <a:ext cx="1492250" cy="335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Abadi" panose="020B0604020104020204" pitchFamily="34" charset="0"/>
              <a:ea typeface="+mn-ea"/>
              <a:cs typeface="+mn-cs"/>
            </a:rPr>
            <a:t>💰</a:t>
          </a:r>
          <a:r>
            <a:rPr lang="en-IN" sz="1100"/>
            <a:t> </a:t>
          </a:r>
          <a:r>
            <a:rPr lang="en-IN" sz="1400" b="1">
              <a:solidFill>
                <a:schemeClr val="dk1"/>
              </a:solidFill>
              <a:effectLst/>
              <a:latin typeface="Abadi" panose="020B0604020104020204" pitchFamily="34" charset="0"/>
              <a:ea typeface="+mn-ea"/>
              <a:cs typeface="+mn-cs"/>
            </a:rPr>
            <a:t>Amount</a:t>
          </a:r>
        </a:p>
      </xdr:txBody>
    </xdr:sp>
    <xdr:clientData/>
  </xdr:twoCellAnchor>
  <xdr:twoCellAnchor>
    <xdr:from>
      <xdr:col>0</xdr:col>
      <xdr:colOff>113241</xdr:colOff>
      <xdr:row>16</xdr:row>
      <xdr:rowOff>177485</xdr:rowOff>
    </xdr:from>
    <xdr:to>
      <xdr:col>2</xdr:col>
      <xdr:colOff>95249</xdr:colOff>
      <xdr:row>18</xdr:row>
      <xdr:rowOff>116416</xdr:rowOff>
    </xdr:to>
    <xdr:sp macro="" textlink="">
      <xdr:nvSpPr>
        <xdr:cNvPr id="14" name="TextBox 13">
          <a:extLst>
            <a:ext uri="{FF2B5EF4-FFF2-40B4-BE49-F238E27FC236}">
              <a16:creationId xmlns:a16="http://schemas.microsoft.com/office/drawing/2014/main" id="{B5A3360A-4AD4-45ED-9B1C-FB0065CD1178}"/>
            </a:ext>
          </a:extLst>
        </xdr:cNvPr>
        <xdr:cNvSpPr txBox="1"/>
      </xdr:nvSpPr>
      <xdr:spPr>
        <a:xfrm>
          <a:off x="113241" y="3172568"/>
          <a:ext cx="1738841" cy="298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Abadi" panose="020B0604020104020204" pitchFamily="34" charset="0"/>
              <a:ea typeface="+mn-ea"/>
              <a:cs typeface="+mn-cs"/>
            </a:rPr>
            <a:t>⭐</a:t>
          </a:r>
          <a:r>
            <a:rPr lang="en-IN" sz="1100"/>
            <a:t> </a:t>
          </a:r>
          <a:r>
            <a:rPr lang="en-IN" sz="1400" b="1">
              <a:solidFill>
                <a:schemeClr val="dk1"/>
              </a:solidFill>
              <a:effectLst/>
              <a:latin typeface="Abadi" panose="020B0604020104020204" pitchFamily="34" charset="0"/>
              <a:ea typeface="+mn-ea"/>
              <a:cs typeface="+mn-cs"/>
            </a:rPr>
            <a:t>Average</a:t>
          </a:r>
          <a:r>
            <a:rPr lang="en-IN" sz="1100" baseline="0">
              <a:solidFill>
                <a:schemeClr val="dk1"/>
              </a:solidFill>
              <a:effectLst/>
              <a:latin typeface="+mn-lt"/>
              <a:ea typeface="+mn-ea"/>
              <a:cs typeface="+mn-cs"/>
            </a:rPr>
            <a:t> </a:t>
          </a:r>
          <a:r>
            <a:rPr lang="en-IN" sz="1400" b="1">
              <a:solidFill>
                <a:schemeClr val="dk1"/>
              </a:solidFill>
              <a:effectLst/>
              <a:latin typeface="Abadi" panose="020B0604020104020204" pitchFamily="34" charset="0"/>
              <a:ea typeface="+mn-ea"/>
              <a:cs typeface="+mn-cs"/>
            </a:rPr>
            <a:t>Rating</a:t>
          </a:r>
        </a:p>
      </xdr:txBody>
    </xdr:sp>
    <xdr:clientData/>
  </xdr:twoCellAnchor>
  <xdr:twoCellAnchor>
    <xdr:from>
      <xdr:col>0</xdr:col>
      <xdr:colOff>94193</xdr:colOff>
      <xdr:row>21</xdr:row>
      <xdr:rowOff>70370</xdr:rowOff>
    </xdr:from>
    <xdr:to>
      <xdr:col>2</xdr:col>
      <xdr:colOff>164042</xdr:colOff>
      <xdr:row>23</xdr:row>
      <xdr:rowOff>36269</xdr:rowOff>
    </xdr:to>
    <xdr:sp macro="" textlink="">
      <xdr:nvSpPr>
        <xdr:cNvPr id="17" name="TextBox 16">
          <a:extLst>
            <a:ext uri="{FF2B5EF4-FFF2-40B4-BE49-F238E27FC236}">
              <a16:creationId xmlns:a16="http://schemas.microsoft.com/office/drawing/2014/main" id="{4C1BE27B-714E-451B-AE67-7F075491D5A7}"/>
            </a:ext>
          </a:extLst>
        </xdr:cNvPr>
        <xdr:cNvSpPr txBox="1"/>
      </xdr:nvSpPr>
      <xdr:spPr>
        <a:xfrm>
          <a:off x="94193" y="3965037"/>
          <a:ext cx="1826682" cy="325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Abadi" panose="020B0604020104020204" pitchFamily="34" charset="0"/>
              <a:ea typeface="+mn-ea"/>
              <a:cs typeface="+mn-cs"/>
            </a:rPr>
            <a:t>🗓️</a:t>
          </a:r>
          <a:r>
            <a:rPr lang="en-IN" sz="1100"/>
            <a:t> </a:t>
          </a:r>
          <a:r>
            <a:rPr lang="en-IN" sz="1400" b="1">
              <a:solidFill>
                <a:schemeClr val="dk1"/>
              </a:solidFill>
              <a:effectLst/>
              <a:latin typeface="Abadi" panose="020B0604020104020204" pitchFamily="34" charset="0"/>
              <a:ea typeface="+mn-ea"/>
              <a:cs typeface="+mn-cs"/>
            </a:rPr>
            <a:t>Days</a:t>
          </a:r>
          <a:r>
            <a:rPr lang="en-IN" sz="1100" baseline="0">
              <a:solidFill>
                <a:schemeClr val="dk1"/>
              </a:solidFill>
              <a:effectLst/>
              <a:latin typeface="+mn-lt"/>
              <a:ea typeface="+mn-ea"/>
              <a:cs typeface="+mn-cs"/>
            </a:rPr>
            <a:t> </a:t>
          </a:r>
          <a:r>
            <a:rPr lang="en-IN" sz="1400" b="1">
              <a:solidFill>
                <a:schemeClr val="dk1"/>
              </a:solidFill>
              <a:effectLst/>
              <a:latin typeface="Abadi" panose="020B0604020104020204" pitchFamily="34" charset="0"/>
              <a:ea typeface="+mn-ea"/>
              <a:cs typeface="+mn-cs"/>
            </a:rPr>
            <a:t>to</a:t>
          </a:r>
          <a:r>
            <a:rPr lang="en-IN" sz="1100" baseline="0">
              <a:solidFill>
                <a:schemeClr val="dk1"/>
              </a:solidFill>
              <a:effectLst/>
              <a:latin typeface="+mn-lt"/>
              <a:ea typeface="+mn-ea"/>
              <a:cs typeface="+mn-cs"/>
            </a:rPr>
            <a:t> </a:t>
          </a:r>
          <a:r>
            <a:rPr lang="en-IN" sz="1400" b="1">
              <a:solidFill>
                <a:schemeClr val="dk1"/>
              </a:solidFill>
              <a:effectLst/>
              <a:latin typeface="Abadi" panose="020B0604020104020204" pitchFamily="34" charset="0"/>
              <a:ea typeface="+mn-ea"/>
              <a:cs typeface="+mn-cs"/>
            </a:rPr>
            <a:t>Deliver</a:t>
          </a:r>
        </a:p>
      </xdr:txBody>
    </xdr:sp>
    <xdr:clientData/>
  </xdr:twoCellAnchor>
  <xdr:twoCellAnchor>
    <xdr:from>
      <xdr:col>3</xdr:col>
      <xdr:colOff>65617</xdr:colOff>
      <xdr:row>0</xdr:row>
      <xdr:rowOff>52917</xdr:rowOff>
    </xdr:from>
    <xdr:to>
      <xdr:col>10</xdr:col>
      <xdr:colOff>571500</xdr:colOff>
      <xdr:row>15</xdr:row>
      <xdr:rowOff>97367</xdr:rowOff>
    </xdr:to>
    <xdr:graphicFrame macro="">
      <xdr:nvGraphicFramePr>
        <xdr:cNvPr id="18" name="Chart 17">
          <a:extLst>
            <a:ext uri="{FF2B5EF4-FFF2-40B4-BE49-F238E27FC236}">
              <a16:creationId xmlns:a16="http://schemas.microsoft.com/office/drawing/2014/main" id="{0974BDC6-582D-4AEE-B8F7-D452CE0C1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31750</xdr:colOff>
      <xdr:row>0</xdr:row>
      <xdr:rowOff>74083</xdr:rowOff>
    </xdr:from>
    <xdr:to>
      <xdr:col>17</xdr:col>
      <xdr:colOff>359833</xdr:colOff>
      <xdr:row>15</xdr:row>
      <xdr:rowOff>105833</xdr:rowOff>
    </xdr:to>
    <xdr:sp macro="" textlink="">
      <xdr:nvSpPr>
        <xdr:cNvPr id="25" name="Rectangle 24">
          <a:extLst>
            <a:ext uri="{FF2B5EF4-FFF2-40B4-BE49-F238E27FC236}">
              <a16:creationId xmlns:a16="http://schemas.microsoft.com/office/drawing/2014/main" id="{E90BC6F1-FE81-87B5-A9B1-2FF0397C0C4D}"/>
            </a:ext>
          </a:extLst>
        </xdr:cNvPr>
        <xdr:cNvSpPr/>
      </xdr:nvSpPr>
      <xdr:spPr>
        <a:xfrm>
          <a:off x="6551083" y="74083"/>
          <a:ext cx="4011083" cy="2730500"/>
        </a:xfrm>
        <a:prstGeom prst="rect">
          <a:avLst/>
        </a:prstGeom>
        <a:solidFill>
          <a:schemeClr val="bg2">
            <a:lumMod val="90000"/>
          </a:schemeClr>
        </a:solid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179918</xdr:colOff>
          <xdr:row>2</xdr:row>
          <xdr:rowOff>24727</xdr:rowOff>
        </xdr:from>
        <xdr:to>
          <xdr:col>17</xdr:col>
          <xdr:colOff>243418</xdr:colOff>
          <xdr:row>15</xdr:row>
          <xdr:rowOff>6823</xdr:rowOff>
        </xdr:to>
        <xdr:pic>
          <xdr:nvPicPr>
            <xdr:cNvPr id="24" name="Picture 23">
              <a:extLst>
                <a:ext uri="{FF2B5EF4-FFF2-40B4-BE49-F238E27FC236}">
                  <a16:creationId xmlns:a16="http://schemas.microsoft.com/office/drawing/2014/main" id="{E6F8B1B6-9370-42EE-1F6D-C57A106EBC9F}"/>
                </a:ext>
              </a:extLst>
            </xdr:cNvPr>
            <xdr:cNvPicPr>
              <a:picLocks noChangeAspect="1" noChangeArrowheads="1"/>
              <a:extLst>
                <a:ext uri="{84589F7E-364E-4C9E-8A38-B11213B215E9}">
                  <a14:cameraTool cellRange="Sheet2!$I$4:$M$9" spid="_x0000_s1043"/>
                </a:ext>
              </a:extLst>
            </xdr:cNvPicPr>
          </xdr:nvPicPr>
          <xdr:blipFill>
            <a:blip xmlns:r="http://schemas.openxmlformats.org/officeDocument/2006/relationships" r:embed="rId3"/>
            <a:srcRect/>
            <a:stretch>
              <a:fillRect/>
            </a:stretch>
          </xdr:blipFill>
          <xdr:spPr bwMode="auto">
            <a:xfrm>
              <a:off x="6699251" y="500977"/>
              <a:ext cx="3746500" cy="23210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425450</xdr:colOff>
      <xdr:row>0</xdr:row>
      <xdr:rowOff>52917</xdr:rowOff>
    </xdr:from>
    <xdr:to>
      <xdr:col>25</xdr:col>
      <xdr:colOff>169333</xdr:colOff>
      <xdr:row>15</xdr:row>
      <xdr:rowOff>97367</xdr:rowOff>
    </xdr:to>
    <xdr:graphicFrame macro="">
      <xdr:nvGraphicFramePr>
        <xdr:cNvPr id="27" name="Chart 26">
          <a:extLst>
            <a:ext uri="{FF2B5EF4-FFF2-40B4-BE49-F238E27FC236}">
              <a16:creationId xmlns:a16="http://schemas.microsoft.com/office/drawing/2014/main" id="{0782C8DD-A9BE-4AA6-9726-A71C3BD04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65616</xdr:colOff>
      <xdr:row>15</xdr:row>
      <xdr:rowOff>126999</xdr:rowOff>
    </xdr:from>
    <xdr:to>
      <xdr:col>12</xdr:col>
      <xdr:colOff>63499</xdr:colOff>
      <xdr:row>42</xdr:row>
      <xdr:rowOff>105832</xdr:rowOff>
    </xdr:to>
    <xdr:graphicFrame macro="">
      <xdr:nvGraphicFramePr>
        <xdr:cNvPr id="28" name="Chart 27">
          <a:extLst>
            <a:ext uri="{FF2B5EF4-FFF2-40B4-BE49-F238E27FC236}">
              <a16:creationId xmlns:a16="http://schemas.microsoft.com/office/drawing/2014/main" id="{C0046094-D057-4AC8-B4E1-9011F2D35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508000</xdr:colOff>
      <xdr:row>31</xdr:row>
      <xdr:rowOff>95250</xdr:rowOff>
    </xdr:from>
    <xdr:to>
      <xdr:col>11</xdr:col>
      <xdr:colOff>444500</xdr:colOff>
      <xdr:row>42</xdr:row>
      <xdr:rowOff>0</xdr:rowOff>
    </xdr:to>
    <xdr:graphicFrame macro="">
      <xdr:nvGraphicFramePr>
        <xdr:cNvPr id="29" name="Chart 28">
          <a:extLst>
            <a:ext uri="{FF2B5EF4-FFF2-40B4-BE49-F238E27FC236}">
              <a16:creationId xmlns:a16="http://schemas.microsoft.com/office/drawing/2014/main" id="{6E22CBE6-4584-4E16-8628-A5579B812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95249</xdr:colOff>
      <xdr:row>15</xdr:row>
      <xdr:rowOff>138428</xdr:rowOff>
    </xdr:from>
    <xdr:to>
      <xdr:col>18</xdr:col>
      <xdr:colOff>518582</xdr:colOff>
      <xdr:row>42</xdr:row>
      <xdr:rowOff>105833</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6F20D564-EC14-46B3-9817-79FB4CEB5F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228416" y="2953595"/>
              <a:ext cx="4106333" cy="48251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52915</xdr:colOff>
      <xdr:row>18</xdr:row>
      <xdr:rowOff>31748</xdr:rowOff>
    </xdr:from>
    <xdr:to>
      <xdr:col>18</xdr:col>
      <xdr:colOff>253999</xdr:colOff>
      <xdr:row>26</xdr:row>
      <xdr:rowOff>63500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BF5E9CB7-9F3E-4ABE-B046-FA0873AA01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641415" y="3386665"/>
              <a:ext cx="1428751" cy="14710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573616</xdr:colOff>
      <xdr:row>15</xdr:row>
      <xdr:rowOff>148167</xdr:rowOff>
    </xdr:from>
    <xdr:to>
      <xdr:col>25</xdr:col>
      <xdr:colOff>179916</xdr:colOff>
      <xdr:row>25</xdr:row>
      <xdr:rowOff>105410</xdr:rowOff>
    </xdr:to>
    <xdr:graphicFrame macro="">
      <xdr:nvGraphicFramePr>
        <xdr:cNvPr id="33" name="Chart 32">
          <a:extLst>
            <a:ext uri="{FF2B5EF4-FFF2-40B4-BE49-F238E27FC236}">
              <a16:creationId xmlns:a16="http://schemas.microsoft.com/office/drawing/2014/main" id="{4B28462E-1436-41CA-A5F4-4ED5F2759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573616</xdr:colOff>
      <xdr:row>25</xdr:row>
      <xdr:rowOff>137583</xdr:rowOff>
    </xdr:from>
    <xdr:to>
      <xdr:col>25</xdr:col>
      <xdr:colOff>169333</xdr:colOff>
      <xdr:row>42</xdr:row>
      <xdr:rowOff>95250</xdr:rowOff>
    </xdr:to>
    <xdr:graphicFrame macro="">
      <xdr:nvGraphicFramePr>
        <xdr:cNvPr id="34" name="Chart 33">
          <a:extLst>
            <a:ext uri="{FF2B5EF4-FFF2-40B4-BE49-F238E27FC236}">
              <a16:creationId xmlns:a16="http://schemas.microsoft.com/office/drawing/2014/main" id="{4687373C-B6BF-4AB5-B41A-34ED5AE48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84666</xdr:colOff>
      <xdr:row>25</xdr:row>
      <xdr:rowOff>169335</xdr:rowOff>
    </xdr:from>
    <xdr:to>
      <xdr:col>2</xdr:col>
      <xdr:colOff>156633</xdr:colOff>
      <xdr:row>34</xdr:row>
      <xdr:rowOff>116417</xdr:rowOff>
    </xdr:to>
    <mc:AlternateContent xmlns:mc="http://schemas.openxmlformats.org/markup-compatibility/2006">
      <mc:Choice xmlns:a14="http://schemas.microsoft.com/office/drawing/2010/main" Requires="a14">
        <xdr:graphicFrame macro="">
          <xdr:nvGraphicFramePr>
            <xdr:cNvPr id="35" name="Order Mode">
              <a:extLst>
                <a:ext uri="{FF2B5EF4-FFF2-40B4-BE49-F238E27FC236}">
                  <a16:creationId xmlns:a16="http://schemas.microsoft.com/office/drawing/2014/main" id="{C668EE7D-0B58-4E82-8D91-DDC560EFA40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84666" y="4728635"/>
              <a:ext cx="1824567" cy="1547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96520</xdr:colOff>
      <xdr:row>35</xdr:row>
      <xdr:rowOff>14817</xdr:rowOff>
    </xdr:from>
    <xdr:to>
      <xdr:col>2</xdr:col>
      <xdr:colOff>127000</xdr:colOff>
      <xdr:row>42</xdr:row>
      <xdr:rowOff>63500</xdr:rowOff>
    </xdr:to>
    <mc:AlternateContent xmlns:mc="http://schemas.openxmlformats.org/markup-compatibility/2006">
      <mc:Choice xmlns:a14="http://schemas.microsoft.com/office/drawing/2010/main" Requires="a14">
        <xdr:graphicFrame macro="">
          <xdr:nvGraphicFramePr>
            <xdr:cNvPr id="36" name="Gender Value">
              <a:extLst>
                <a:ext uri="{FF2B5EF4-FFF2-40B4-BE49-F238E27FC236}">
                  <a16:creationId xmlns:a16="http://schemas.microsoft.com/office/drawing/2014/main" id="{A9669BF9-C434-468C-9EE2-E5F9F73D8AC8}"/>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96520" y="6352117"/>
              <a:ext cx="1783080" cy="1293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52917</xdr:colOff>
      <xdr:row>0</xdr:row>
      <xdr:rowOff>137584</xdr:rowOff>
    </xdr:from>
    <xdr:to>
      <xdr:col>16</xdr:col>
      <xdr:colOff>497417</xdr:colOff>
      <xdr:row>1</xdr:row>
      <xdr:rowOff>127001</xdr:rowOff>
    </xdr:to>
    <xdr:sp macro="" textlink="">
      <xdr:nvSpPr>
        <xdr:cNvPr id="38" name="TextBox 37">
          <a:extLst>
            <a:ext uri="{FF2B5EF4-FFF2-40B4-BE49-F238E27FC236}">
              <a16:creationId xmlns:a16="http://schemas.microsoft.com/office/drawing/2014/main" id="{F74DBD62-4A10-0CFB-9696-D58D3F53FB49}"/>
            </a:ext>
          </a:extLst>
        </xdr:cNvPr>
        <xdr:cNvSpPr txBox="1"/>
      </xdr:nvSpPr>
      <xdr:spPr>
        <a:xfrm>
          <a:off x="7799917" y="137584"/>
          <a:ext cx="2286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mn-lt"/>
            </a:rPr>
            <a:t>Prefer Mode to Buy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145.532825115741" createdVersion="8" refreshedVersion="8" minRefreshableVersion="3" recordCount="2400" xr:uid="{E8507314-A8B3-4BAE-88B8-E649254F2E25}">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416897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0D527B-1F6A-44EE-B26B-E9A9865A70E4}" name="PivotTable9"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0">
  <location ref="A62:D66"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h="1" x="0"/>
        <item h="1" x="3"/>
        <item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h="1" x="2"/>
        <item h="1" x="1"/>
        <item x="3"/>
        <item h="1"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4">
    <i>
      <x/>
      <x v="2"/>
    </i>
    <i r="1">
      <x v="18"/>
    </i>
    <i r="1">
      <x v="38"/>
    </i>
    <i r="1">
      <x v="41"/>
    </i>
  </rowItems>
  <colFields count="1">
    <field x="-2"/>
  </colFields>
  <colItems count="2">
    <i>
      <x/>
    </i>
    <i i="1">
      <x v="1"/>
    </i>
  </colItems>
  <dataFields count="2">
    <dataField name="Sum of Quantity" fld="2" baseField="0" baseItem="0"/>
    <dataField name="Sum of Amount" fld="4" baseField="0" baseItem="0"/>
  </dataFields>
  <chartFormats count="5">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44CA57-608B-4508-A619-172E91AEA72E}"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51:C5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h="1" x="0"/>
        <item h="1" x="3"/>
        <item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7">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14" count="1" selected="0">
            <x v="0"/>
          </reference>
        </references>
      </pivotArea>
    </chartFormat>
    <chartFormat chart="37" format="8">
      <pivotArea type="data" outline="0" fieldPosition="0">
        <references count="2">
          <reference field="4294967294" count="1" selected="0">
            <x v="0"/>
          </reference>
          <reference field="14" count="1" selected="0">
            <x v="1"/>
          </reference>
        </references>
      </pivotArea>
    </chartFormat>
    <chartFormat chart="37" format="9">
      <pivotArea type="data" outline="0" fieldPosition="0">
        <references count="2">
          <reference field="4294967294" count="1" selected="0">
            <x v="0"/>
          </reference>
          <reference field="14" count="1" selected="0">
            <x v="2"/>
          </reference>
        </references>
      </pivotArea>
    </chartFormat>
    <chartFormat chart="37"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8D158A-3B3E-430C-8DC3-CC50C9EB7172}"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22:J44"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h="1" x="0"/>
        <item h="1" x="3"/>
        <item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
    </i>
    <i>
      <x v="16"/>
    </i>
    <i>
      <x v="12"/>
    </i>
    <i>
      <x v="13"/>
    </i>
    <i>
      <x v="14"/>
    </i>
    <i>
      <x v="11"/>
    </i>
    <i>
      <x v="2"/>
    </i>
    <i>
      <x v="4"/>
    </i>
    <i>
      <x v="5"/>
    </i>
    <i>
      <x v="8"/>
    </i>
    <i>
      <x v="19"/>
    </i>
    <i>
      <x v="15"/>
    </i>
    <i>
      <x v="10"/>
    </i>
    <i>
      <x v="9"/>
    </i>
    <i>
      <x v="17"/>
    </i>
    <i>
      <x v="3"/>
    </i>
    <i>
      <x v="7"/>
    </i>
    <i>
      <x/>
    </i>
    <i t="grand">
      <x/>
    </i>
  </rowItems>
  <colFields count="1">
    <field x="7"/>
  </colFields>
  <colItems count="5">
    <i>
      <x/>
    </i>
    <i>
      <x v="1"/>
    </i>
    <i>
      <x v="2"/>
    </i>
    <i>
      <x v="3"/>
    </i>
    <i t="grand">
      <x/>
    </i>
  </colItems>
  <dataFields count="1">
    <dataField name="Sum of Quantity" fld="2" baseField="0" baseItem="0"/>
  </dataFields>
  <chartFormats count="6">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6" format="8" series="1">
      <pivotArea type="data" outline="0" fieldPosition="0">
        <references count="2">
          <reference field="4294967294" count="1" selected="0">
            <x v="0"/>
          </reference>
          <reference field="7" count="1" selected="0">
            <x v="0"/>
          </reference>
        </references>
      </pivotArea>
    </chartFormat>
    <chartFormat chart="26" format="9" series="1">
      <pivotArea type="data" outline="0" fieldPosition="0">
        <references count="2">
          <reference field="4294967294" count="1" selected="0">
            <x v="0"/>
          </reference>
          <reference field="7" count="1" selected="0">
            <x v="1"/>
          </reference>
        </references>
      </pivotArea>
    </chartFormat>
    <chartFormat chart="26" format="10" series="1">
      <pivotArea type="data" outline="0" fieldPosition="0">
        <references count="2">
          <reference field="4294967294" count="1" selected="0">
            <x v="0"/>
          </reference>
          <reference field="7" count="1" selected="0">
            <x v="2"/>
          </reference>
        </references>
      </pivotArea>
    </chartFormat>
    <chartFormat chart="2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6F0B93-2B2F-4C80-86E0-EF41D38CBA10}"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8:F1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pivotField showAll="0">
      <items count="5">
        <item h="1" x="2"/>
        <item h="1" x="1"/>
        <item x="3"/>
        <item h="1" x="0"/>
        <item t="default"/>
      </items>
    </pivotField>
    <pivotField axis="axisRow" showAll="0">
      <items count="8">
        <item x="0"/>
        <item x="1"/>
        <item x="2"/>
        <item x="4"/>
        <item x="3"/>
        <item n="6 - 10" x="5"/>
        <item n="11 +"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i>
    <i>
      <x v="1"/>
    </i>
    <i>
      <x v="2"/>
    </i>
    <i>
      <x v="5"/>
    </i>
    <i>
      <x v="6"/>
    </i>
    <i t="grand">
      <x/>
    </i>
  </rowItems>
  <colItems count="1">
    <i/>
  </colItems>
  <dataFields count="1">
    <dataField name="Count of TX 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698BF-9804-4B5A-9D56-79FF40D0BA8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C1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v="2"/>
    </i>
    <i>
      <x v="3"/>
    </i>
    <i>
      <x v="7"/>
    </i>
    <i>
      <x v="8"/>
    </i>
    <i>
      <x v="9"/>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01517E-E567-40DA-901D-8BC852B2B75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dataField="1" showAll="0"/>
    <pivotField showAll="0"/>
    <pivotField showAll="0"/>
    <pivotField dataField="1" showAll="0"/>
    <pivotField showAll="0"/>
    <pivotField showAll="0">
      <items count="5">
        <item h="1" x="2"/>
        <item h="1" x="1"/>
        <item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6AA8C1-E56B-4C28-A225-8CA55DC6511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71C31B-7FA6-4415-863B-21793B9412DD}"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F5:K10"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h="1" x="1"/>
        <item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5">
    <i>
      <x/>
    </i>
    <i>
      <x v="1"/>
    </i>
    <i>
      <x v="2"/>
    </i>
    <i>
      <x v="3"/>
    </i>
    <i t="grand">
      <x/>
    </i>
  </colItems>
  <dataFields count="1">
    <dataField name="Count of TX ID" fld="0" subtotal="count" baseField="0" baseItem="0"/>
  </dataFields>
  <chartFormats count="7">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4" format="13" series="1">
      <pivotArea type="data" outline="0" fieldPosition="0">
        <references count="2">
          <reference field="4294967294" count="1" selected="0">
            <x v="0"/>
          </reference>
          <reference field="9" count="1" selected="0">
            <x v="0"/>
          </reference>
        </references>
      </pivotArea>
    </chartFormat>
    <chartFormat chart="34" format="14" series="1">
      <pivotArea type="data" outline="0" fieldPosition="0">
        <references count="2">
          <reference field="4294967294" count="1" selected="0">
            <x v="0"/>
          </reference>
          <reference field="9" count="1" selected="0">
            <x v="1"/>
          </reference>
        </references>
      </pivotArea>
    </chartFormat>
    <chartFormat chart="34" format="15" series="1">
      <pivotArea type="data" outline="0" fieldPosition="0">
        <references count="2">
          <reference field="4294967294" count="1" selected="0">
            <x v="0"/>
          </reference>
          <reference field="9" count="1" selected="0">
            <x v="2"/>
          </reference>
        </references>
      </pivotArea>
    </chartFormat>
    <chartFormat chart="34" format="16" series="1">
      <pivotArea type="data" outline="0" fieldPosition="0">
        <references count="2">
          <reference field="4294967294" count="1" selected="0">
            <x v="0"/>
          </reference>
          <reference field="9" count="1" selected="0">
            <x v="3"/>
          </reference>
        </references>
      </pivotArea>
    </chartFormat>
    <chartFormat chart="3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243EE2-89BA-4113-A9D7-7AB2E25495A0}"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h="1" x="1"/>
        <item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v="1"/>
    </i>
    <i>
      <x v="2"/>
    </i>
    <i>
      <x v="3"/>
    </i>
    <i>
      <x v="5"/>
    </i>
    <i t="grand">
      <x/>
    </i>
  </rowItems>
  <colItems count="1">
    <i/>
  </colItems>
  <dataFields count="1">
    <dataField name="Count of TX ID" fld="0" subtotal="count"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6D042C0-7214-428D-992A-E74A662B1C9A}" sourceName="Order Mode">
  <pivotTables>
    <pivotTable tabId="7" name="PivotTable11"/>
    <pivotTable tabId="5" name="PivotTable1"/>
    <pivotTable tabId="5" name="PivotTable2"/>
    <pivotTable tabId="5" name="PivotTable5"/>
    <pivotTable tabId="5" name="PivotTable7"/>
    <pivotTable tabId="5" name="PivotTable8"/>
    <pivotTable tabId="5" name="PivotTable9"/>
    <pivotTable tabId="7" name="PivotTable10"/>
  </pivotTables>
  <data>
    <tabular pivotCacheId="1416897051">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E0CBC49-E42F-41AB-8A70-D00C1E3D7C54}" sourceName="Gender Value">
  <pivotTables>
    <pivotTable tabId="7" name="PivotTable11"/>
    <pivotTable tabId="5" name="PivotTable1"/>
    <pivotTable tabId="5" name="PivotTable2"/>
    <pivotTable tabId="5" name="PivotTable5"/>
    <pivotTable tabId="5" name="PivotTable9"/>
    <pivotTable tabId="7" name="PivotTable10"/>
  </pivotTables>
  <data>
    <tabular pivotCacheId="1416897051">
      <items count="4">
        <i x="2"/>
        <i x="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A321795-F440-4421-8D5E-1E0A900D02E0}" cache="Slicer_Order_Mode" caption="Order Mode" showCaption="0" style="SlicerStyleDark5 2" rowHeight="247650"/>
  <slicer name="Gender Value" xr10:uid="{1756C45D-C4F8-4D17-AF38-EED5E43757A5}" cache="Slicer_Gender_Value" caption="Gender Value" showCaption="0"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7"/>
    <tableColumn id="7" xr3:uid="{43BB5DBF-46E1-4185-80C0-4361F55A385C}" name="Ship Date" dataDxfId="6"/>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5">
      <calculatedColumnFormula>orders[[#This Row],[Ship Date]]-orders[[#This Row],[Order Date]]</calculatedColumnFormula>
    </tableColumn>
    <tableColumn id="12" xr3:uid="{B071C0DA-87A9-4516-B4D9-4F5B7D3FF44A}" name="Weeknum" dataDxfId="4">
      <calculatedColumnFormula>WEEKNUM(orders[[#This Row],[Order Date]])</calculatedColumnFormula>
    </tableColumn>
    <tableColumn id="13" xr3:uid="{B8EA9E28-7541-4E76-9935-C26438661A18}" name="Gender Value" dataDxfId="3">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55F08-7305-4746-B7B7-3A36A1F888AB}">
  <dimension ref="A2:N120"/>
  <sheetViews>
    <sheetView topLeftCell="A39" workbookViewId="0">
      <selection activeCell="B51" sqref="B51"/>
    </sheetView>
  </sheetViews>
  <sheetFormatPr defaultRowHeight="14.4"/>
  <cols>
    <col min="1" max="1" width="12.44140625" bestFit="1" customWidth="1"/>
    <col min="2" max="2" width="18.44140625" bestFit="1" customWidth="1"/>
    <col min="3" max="3" width="14.21875" bestFit="1" customWidth="1"/>
    <col min="4" max="4" width="13.5546875" bestFit="1" customWidth="1"/>
    <col min="5" max="5" width="19.109375" bestFit="1" customWidth="1"/>
    <col min="6" max="6" width="15.5546875" bestFit="1" customWidth="1"/>
    <col min="7" max="8" width="4" bestFit="1" customWidth="1"/>
    <col min="9" max="9" width="3" bestFit="1" customWidth="1"/>
    <col min="10" max="10" width="10.5546875" bestFit="1" customWidth="1"/>
    <col min="13" max="13" width="16.6640625" customWidth="1"/>
  </cols>
  <sheetData>
    <row r="2" spans="1:11">
      <c r="G2" t="s">
        <v>2509</v>
      </c>
    </row>
    <row r="3" spans="1:11">
      <c r="A3" t="s">
        <v>2504</v>
      </c>
      <c r="B3" t="s">
        <v>2505</v>
      </c>
      <c r="C3" t="s">
        <v>2506</v>
      </c>
      <c r="D3" t="s">
        <v>2507</v>
      </c>
      <c r="E3" t="s">
        <v>2508</v>
      </c>
      <c r="G3" t="s">
        <v>2503</v>
      </c>
      <c r="H3" t="s">
        <v>2510</v>
      </c>
      <c r="I3" t="s">
        <v>4</v>
      </c>
      <c r="J3" t="s">
        <v>2511</v>
      </c>
      <c r="K3" t="s">
        <v>2512</v>
      </c>
    </row>
    <row r="4" spans="1:11">
      <c r="A4" s="3">
        <v>11</v>
      </c>
      <c r="B4" s="3">
        <v>40</v>
      </c>
      <c r="C4" s="3">
        <v>1496.8</v>
      </c>
      <c r="D4" s="3">
        <v>3.1818181818181817</v>
      </c>
      <c r="E4" s="3">
        <v>1.9090909090909092</v>
      </c>
      <c r="G4" t="str">
        <f>TEXT(A4,"#,##")</f>
        <v>11</v>
      </c>
      <c r="H4" t="str">
        <f t="shared" ref="H4:I4" si="0">TEXT(B4,"#,##")</f>
        <v>40</v>
      </c>
      <c r="I4" t="str">
        <f>TEXT(C4,"$#,##,.0k")</f>
        <v>$1.5k</v>
      </c>
      <c r="J4" t="str">
        <f>TEXT(D4,"0.0")</f>
        <v>3.2</v>
      </c>
      <c r="K4" t="str">
        <f>TEXT(E4,"0.0")</f>
        <v>1.9</v>
      </c>
    </row>
    <row r="8" spans="1:11">
      <c r="A8" s="5" t="s">
        <v>2513</v>
      </c>
      <c r="B8" t="s">
        <v>2505</v>
      </c>
      <c r="C8" t="s">
        <v>2506</v>
      </c>
      <c r="E8" s="5" t="s">
        <v>2513</v>
      </c>
      <c r="F8" t="s">
        <v>2504</v>
      </c>
    </row>
    <row r="9" spans="1:11">
      <c r="A9" s="6">
        <v>3</v>
      </c>
      <c r="B9" s="3">
        <v>3</v>
      </c>
      <c r="C9" s="7">
        <v>281.8</v>
      </c>
      <c r="E9" s="6">
        <v>1</v>
      </c>
      <c r="F9" s="3">
        <v>3</v>
      </c>
    </row>
    <row r="10" spans="1:11">
      <c r="A10" s="6">
        <v>4</v>
      </c>
      <c r="B10" s="3">
        <v>23</v>
      </c>
      <c r="C10" s="7">
        <v>567.70000000000005</v>
      </c>
      <c r="E10" s="6">
        <v>2</v>
      </c>
      <c r="F10" s="3">
        <v>3</v>
      </c>
    </row>
    <row r="11" spans="1:11">
      <c r="A11" s="6">
        <v>8</v>
      </c>
      <c r="B11" s="3">
        <v>4</v>
      </c>
      <c r="C11" s="7">
        <v>187.4</v>
      </c>
      <c r="E11" s="6">
        <v>3</v>
      </c>
      <c r="F11" s="3">
        <v>3</v>
      </c>
    </row>
    <row r="12" spans="1:11">
      <c r="A12" s="6">
        <v>9</v>
      </c>
      <c r="B12" s="3">
        <v>1</v>
      </c>
      <c r="C12" s="7">
        <v>36.299999999999997</v>
      </c>
      <c r="E12" s="6" t="s">
        <v>2521</v>
      </c>
      <c r="F12" s="3">
        <v>1</v>
      </c>
    </row>
    <row r="13" spans="1:11">
      <c r="A13" s="6">
        <v>10</v>
      </c>
      <c r="B13" s="3">
        <v>3</v>
      </c>
      <c r="C13" s="7">
        <v>208.5</v>
      </c>
      <c r="E13" s="6" t="s">
        <v>2522</v>
      </c>
      <c r="F13" s="3">
        <v>1</v>
      </c>
    </row>
    <row r="14" spans="1:11">
      <c r="A14" s="6">
        <v>12</v>
      </c>
      <c r="B14" s="3">
        <v>3</v>
      </c>
      <c r="C14" s="7">
        <v>134.39999999999998</v>
      </c>
      <c r="E14" s="6" t="s">
        <v>2514</v>
      </c>
      <c r="F14" s="3">
        <v>11</v>
      </c>
    </row>
    <row r="15" spans="1:11">
      <c r="A15" s="6">
        <v>13</v>
      </c>
      <c r="B15" s="3">
        <v>3</v>
      </c>
      <c r="C15" s="7">
        <v>80.699999999999989</v>
      </c>
    </row>
    <row r="16" spans="1:11">
      <c r="A16" s="6" t="s">
        <v>2514</v>
      </c>
      <c r="B16" s="3">
        <v>40</v>
      </c>
      <c r="C16" s="7">
        <v>1496.8</v>
      </c>
    </row>
    <row r="22" spans="5:10">
      <c r="E22" s="5" t="s">
        <v>2505</v>
      </c>
      <c r="F22" s="5" t="s">
        <v>2515</v>
      </c>
    </row>
    <row r="23" spans="5:10">
      <c r="E23" s="5" t="s">
        <v>2513</v>
      </c>
      <c r="G23" t="s">
        <v>27</v>
      </c>
      <c r="H23" t="s">
        <v>23</v>
      </c>
      <c r="I23" t="s">
        <v>89</v>
      </c>
      <c r="J23" t="s">
        <v>2514</v>
      </c>
    </row>
    <row r="24" spans="5:10">
      <c r="E24" s="6" t="s">
        <v>39</v>
      </c>
      <c r="F24" s="3">
        <v>16</v>
      </c>
      <c r="G24" s="3">
        <v>99</v>
      </c>
      <c r="H24" s="3">
        <v>108</v>
      </c>
      <c r="I24" s="3"/>
      <c r="J24" s="3">
        <v>223</v>
      </c>
    </row>
    <row r="25" spans="5:10">
      <c r="E25" s="6" t="s">
        <v>44</v>
      </c>
      <c r="F25" s="3">
        <v>17</v>
      </c>
      <c r="G25" s="3">
        <v>86</v>
      </c>
      <c r="H25" s="3">
        <v>34</v>
      </c>
      <c r="I25" s="3">
        <v>23</v>
      </c>
      <c r="J25" s="3">
        <v>160</v>
      </c>
    </row>
    <row r="26" spans="5:10">
      <c r="E26" s="6" t="s">
        <v>54</v>
      </c>
      <c r="F26" s="3"/>
      <c r="G26" s="3">
        <v>76</v>
      </c>
      <c r="H26" s="3">
        <v>61</v>
      </c>
      <c r="I26" s="3"/>
      <c r="J26" s="3">
        <v>137</v>
      </c>
    </row>
    <row r="27" spans="5:10">
      <c r="E27" s="6" t="s">
        <v>22</v>
      </c>
      <c r="F27" s="3"/>
      <c r="G27" s="3">
        <v>52</v>
      </c>
      <c r="H27" s="3">
        <v>47</v>
      </c>
      <c r="I27" s="3">
        <v>3</v>
      </c>
      <c r="J27" s="3">
        <v>102</v>
      </c>
    </row>
    <row r="28" spans="5:10">
      <c r="E28" s="6" t="s">
        <v>16</v>
      </c>
      <c r="F28" s="3"/>
      <c r="G28" s="3">
        <v>73</v>
      </c>
      <c r="H28" s="3">
        <v>28</v>
      </c>
      <c r="I28" s="3"/>
      <c r="J28" s="3">
        <v>101</v>
      </c>
    </row>
    <row r="29" spans="5:10">
      <c r="E29" s="6" t="s">
        <v>26</v>
      </c>
      <c r="F29" s="3"/>
      <c r="G29" s="3">
        <v>56</v>
      </c>
      <c r="H29" s="3">
        <v>39</v>
      </c>
      <c r="I29" s="3"/>
      <c r="J29" s="3">
        <v>95</v>
      </c>
    </row>
    <row r="30" spans="5:10">
      <c r="E30" s="6" t="s">
        <v>46</v>
      </c>
      <c r="F30" s="3">
        <v>2</v>
      </c>
      <c r="G30" s="3">
        <v>42</v>
      </c>
      <c r="H30" s="3">
        <v>34</v>
      </c>
      <c r="I30" s="3">
        <v>5</v>
      </c>
      <c r="J30" s="3">
        <v>83</v>
      </c>
    </row>
    <row r="31" spans="5:10">
      <c r="E31" s="6" t="s">
        <v>37</v>
      </c>
      <c r="F31" s="3">
        <v>3</v>
      </c>
      <c r="G31" s="3">
        <v>24</v>
      </c>
      <c r="H31" s="3">
        <v>39</v>
      </c>
      <c r="I31" s="3">
        <v>1</v>
      </c>
      <c r="J31" s="3">
        <v>67</v>
      </c>
    </row>
    <row r="32" spans="5:10">
      <c r="E32" s="6" t="s">
        <v>69</v>
      </c>
      <c r="F32" s="3">
        <v>3</v>
      </c>
      <c r="G32" s="3">
        <v>52</v>
      </c>
      <c r="H32" s="3">
        <v>2</v>
      </c>
      <c r="I32" s="3">
        <v>6</v>
      </c>
      <c r="J32" s="3">
        <v>63</v>
      </c>
    </row>
    <row r="33" spans="5:10">
      <c r="E33" s="6" t="s">
        <v>32</v>
      </c>
      <c r="F33" s="3"/>
      <c r="G33" s="3">
        <v>49</v>
      </c>
      <c r="H33" s="3">
        <v>10</v>
      </c>
      <c r="I33" s="3">
        <v>2</v>
      </c>
      <c r="J33" s="3">
        <v>61</v>
      </c>
    </row>
    <row r="34" spans="5:10">
      <c r="E34" s="6" t="s">
        <v>42</v>
      </c>
      <c r="F34" s="3">
        <v>5</v>
      </c>
      <c r="G34" s="3">
        <v>29</v>
      </c>
      <c r="H34" s="3">
        <v>13</v>
      </c>
      <c r="I34" s="3"/>
      <c r="J34" s="3">
        <v>47</v>
      </c>
    </row>
    <row r="35" spans="5:10">
      <c r="E35" s="6" t="s">
        <v>146</v>
      </c>
      <c r="F35" s="3"/>
      <c r="G35" s="3">
        <v>20</v>
      </c>
      <c r="H35" s="3">
        <v>26</v>
      </c>
      <c r="I35" s="3"/>
      <c r="J35" s="3">
        <v>46</v>
      </c>
    </row>
    <row r="36" spans="5:10">
      <c r="E36" s="6" t="s">
        <v>30</v>
      </c>
      <c r="F36" s="3">
        <v>3</v>
      </c>
      <c r="G36" s="3">
        <v>11</v>
      </c>
      <c r="H36" s="3">
        <v>20</v>
      </c>
      <c r="I36" s="3"/>
      <c r="J36" s="3">
        <v>34</v>
      </c>
    </row>
    <row r="37" spans="5:10">
      <c r="E37" s="6" t="s">
        <v>128</v>
      </c>
      <c r="F37" s="3"/>
      <c r="G37" s="3">
        <v>33</v>
      </c>
      <c r="H37" s="3"/>
      <c r="I37" s="3"/>
      <c r="J37" s="3">
        <v>33</v>
      </c>
    </row>
    <row r="38" spans="5:10">
      <c r="E38" s="6" t="s">
        <v>135</v>
      </c>
      <c r="F38" s="3"/>
      <c r="G38" s="3">
        <v>3</v>
      </c>
      <c r="H38" s="3">
        <v>29</v>
      </c>
      <c r="I38" s="3"/>
      <c r="J38" s="3">
        <v>32</v>
      </c>
    </row>
    <row r="39" spans="5:10">
      <c r="E39" s="6" t="s">
        <v>67</v>
      </c>
      <c r="F39" s="3"/>
      <c r="G39" s="3">
        <v>32</v>
      </c>
      <c r="H39" s="3"/>
      <c r="I39" s="3"/>
      <c r="J39" s="3">
        <v>32</v>
      </c>
    </row>
    <row r="40" spans="5:10">
      <c r="E40" s="6" t="s">
        <v>76</v>
      </c>
      <c r="F40" s="3"/>
      <c r="G40" s="3">
        <v>18</v>
      </c>
      <c r="H40" s="3">
        <v>6</v>
      </c>
      <c r="I40" s="3"/>
      <c r="J40" s="3">
        <v>24</v>
      </c>
    </row>
    <row r="41" spans="5:10">
      <c r="E41" s="6" t="s">
        <v>123</v>
      </c>
      <c r="F41" s="3"/>
      <c r="G41" s="3">
        <v>17</v>
      </c>
      <c r="H41" s="3">
        <v>6</v>
      </c>
      <c r="I41" s="3"/>
      <c r="J41" s="3">
        <v>23</v>
      </c>
    </row>
    <row r="42" spans="5:10">
      <c r="E42" s="6" t="s">
        <v>171</v>
      </c>
      <c r="F42" s="3"/>
      <c r="G42" s="3">
        <v>13</v>
      </c>
      <c r="H42" s="3">
        <v>8</v>
      </c>
      <c r="I42" s="3"/>
      <c r="J42" s="3">
        <v>21</v>
      </c>
    </row>
    <row r="43" spans="5:10">
      <c r="E43" s="6" t="s">
        <v>81</v>
      </c>
      <c r="F43" s="3"/>
      <c r="G43" s="3">
        <v>4</v>
      </c>
      <c r="H43" s="3"/>
      <c r="I43" s="3"/>
      <c r="J43" s="3">
        <v>4</v>
      </c>
    </row>
    <row r="44" spans="5:10">
      <c r="E44" s="6" t="s">
        <v>2514</v>
      </c>
      <c r="F44" s="3">
        <v>49</v>
      </c>
      <c r="G44" s="3">
        <v>789</v>
      </c>
      <c r="H44" s="3">
        <v>510</v>
      </c>
      <c r="I44" s="3">
        <v>40</v>
      </c>
      <c r="J44" s="3">
        <v>1388</v>
      </c>
    </row>
    <row r="51" spans="1:14">
      <c r="B51" s="5" t="s">
        <v>2513</v>
      </c>
      <c r="C51" t="s">
        <v>2505</v>
      </c>
    </row>
    <row r="52" spans="1:14">
      <c r="B52" s="6" t="s">
        <v>2516</v>
      </c>
      <c r="C52" s="3">
        <v>789</v>
      </c>
    </row>
    <row r="53" spans="1:14">
      <c r="B53" s="6" t="s">
        <v>2517</v>
      </c>
      <c r="C53" s="3">
        <v>510</v>
      </c>
    </row>
    <row r="54" spans="1:14">
      <c r="B54" s="6" t="s">
        <v>2518</v>
      </c>
      <c r="C54" s="3">
        <v>40</v>
      </c>
    </row>
    <row r="55" spans="1:14">
      <c r="B55" s="6" t="s">
        <v>2519</v>
      </c>
      <c r="C55" s="3">
        <v>49</v>
      </c>
    </row>
    <row r="56" spans="1:14">
      <c r="B56" s="6" t="s">
        <v>2514</v>
      </c>
      <c r="C56" s="3">
        <v>1388</v>
      </c>
    </row>
    <row r="62" spans="1:14">
      <c r="A62" s="5" t="s">
        <v>10</v>
      </c>
      <c r="B62" s="5" t="s">
        <v>11</v>
      </c>
      <c r="C62" t="s">
        <v>2505</v>
      </c>
      <c r="D62" t="s">
        <v>2506</v>
      </c>
      <c r="G62" t="s">
        <v>10</v>
      </c>
      <c r="H62" t="s">
        <v>11</v>
      </c>
      <c r="I62" t="s">
        <v>2510</v>
      </c>
      <c r="L62" t="s">
        <v>10</v>
      </c>
      <c r="M62" t="s">
        <v>11</v>
      </c>
      <c r="N62" t="s">
        <v>4</v>
      </c>
    </row>
    <row r="63" spans="1:14">
      <c r="A63" t="s">
        <v>19</v>
      </c>
      <c r="B63" t="s">
        <v>641</v>
      </c>
      <c r="C63" s="3">
        <v>4</v>
      </c>
      <c r="D63" s="3">
        <v>128.69999999999999</v>
      </c>
      <c r="G63" s="12" t="s">
        <v>19</v>
      </c>
      <c r="H63" t="s">
        <v>115</v>
      </c>
      <c r="I63" s="3">
        <v>579</v>
      </c>
      <c r="J63" s="3"/>
      <c r="L63" s="12" t="s">
        <v>19</v>
      </c>
      <c r="M63" t="s">
        <v>115</v>
      </c>
      <c r="N63" s="3">
        <v>31884.999999999996</v>
      </c>
    </row>
    <row r="64" spans="1:14">
      <c r="A64" t="s">
        <v>19</v>
      </c>
      <c r="B64" t="s">
        <v>33</v>
      </c>
      <c r="C64" s="3">
        <v>19</v>
      </c>
      <c r="D64" s="3">
        <v>980.7</v>
      </c>
      <c r="G64" s="12" t="s">
        <v>19</v>
      </c>
      <c r="H64" t="s">
        <v>20</v>
      </c>
      <c r="I64" s="3">
        <v>1</v>
      </c>
      <c r="J64" s="3"/>
      <c r="L64" s="12" t="s">
        <v>19</v>
      </c>
      <c r="M64" t="s">
        <v>20</v>
      </c>
      <c r="N64" s="3">
        <v>10.9</v>
      </c>
    </row>
    <row r="65" spans="1:14">
      <c r="A65" t="s">
        <v>19</v>
      </c>
      <c r="B65" t="s">
        <v>201</v>
      </c>
      <c r="C65" s="3">
        <v>15</v>
      </c>
      <c r="D65" s="3">
        <v>288</v>
      </c>
      <c r="G65" s="12" t="s">
        <v>19</v>
      </c>
      <c r="H65" t="s">
        <v>641</v>
      </c>
      <c r="I65" s="3">
        <v>9</v>
      </c>
      <c r="J65" s="3"/>
      <c r="L65" s="12" t="s">
        <v>19</v>
      </c>
      <c r="M65" t="s">
        <v>641</v>
      </c>
      <c r="N65" s="3">
        <v>800.3</v>
      </c>
    </row>
    <row r="66" spans="1:14">
      <c r="A66" t="s">
        <v>19</v>
      </c>
      <c r="B66" t="s">
        <v>74</v>
      </c>
      <c r="C66" s="3">
        <v>2</v>
      </c>
      <c r="D66" s="3">
        <v>99.4</v>
      </c>
      <c r="G66" s="12" t="s">
        <v>19</v>
      </c>
      <c r="H66" t="s">
        <v>967</v>
      </c>
      <c r="I66" s="3">
        <v>35</v>
      </c>
      <c r="J66" s="3"/>
      <c r="L66" s="12" t="s">
        <v>19</v>
      </c>
      <c r="M66" t="s">
        <v>967</v>
      </c>
      <c r="N66" s="3">
        <v>1062.5999999999999</v>
      </c>
    </row>
    <row r="67" spans="1:14">
      <c r="G67" s="12" t="s">
        <v>19</v>
      </c>
      <c r="H67" t="s">
        <v>84</v>
      </c>
      <c r="I67" s="3">
        <v>12</v>
      </c>
      <c r="J67" s="3"/>
      <c r="L67" s="12" t="s">
        <v>19</v>
      </c>
      <c r="M67" t="s">
        <v>84</v>
      </c>
      <c r="N67" s="3">
        <v>326.20000000000005</v>
      </c>
    </row>
    <row r="68" spans="1:14">
      <c r="G68" s="12" t="s">
        <v>19</v>
      </c>
      <c r="H68" t="s">
        <v>1383</v>
      </c>
      <c r="I68" s="3">
        <v>4</v>
      </c>
      <c r="J68" s="3"/>
      <c r="L68" s="12" t="s">
        <v>19</v>
      </c>
      <c r="M68" t="s">
        <v>1383</v>
      </c>
      <c r="N68" s="3">
        <v>167.5</v>
      </c>
    </row>
    <row r="69" spans="1:14">
      <c r="G69" s="12" t="s">
        <v>19</v>
      </c>
      <c r="H69" t="s">
        <v>24</v>
      </c>
      <c r="I69" s="3">
        <v>341</v>
      </c>
      <c r="J69" s="3"/>
      <c r="L69" s="12" t="s">
        <v>19</v>
      </c>
      <c r="M69" t="s">
        <v>24</v>
      </c>
      <c r="N69" s="3">
        <v>16168.7</v>
      </c>
    </row>
    <row r="70" spans="1:14">
      <c r="G70" s="12" t="s">
        <v>19</v>
      </c>
      <c r="H70" t="s">
        <v>2204</v>
      </c>
      <c r="I70" s="3">
        <v>13</v>
      </c>
      <c r="J70" s="3"/>
      <c r="L70" s="12" t="s">
        <v>19</v>
      </c>
      <c r="M70" t="s">
        <v>2204</v>
      </c>
      <c r="N70" s="3">
        <v>322.40000000000003</v>
      </c>
    </row>
    <row r="71" spans="1:14">
      <c r="G71" s="12" t="s">
        <v>19</v>
      </c>
      <c r="H71" t="s">
        <v>437</v>
      </c>
      <c r="I71" s="3">
        <v>31</v>
      </c>
      <c r="J71" s="3"/>
      <c r="L71" s="12" t="s">
        <v>19</v>
      </c>
      <c r="M71" t="s">
        <v>437</v>
      </c>
      <c r="N71" s="3">
        <v>2092.8000000000002</v>
      </c>
    </row>
    <row r="72" spans="1:14">
      <c r="G72" s="12" t="s">
        <v>19</v>
      </c>
      <c r="H72" t="s">
        <v>28</v>
      </c>
      <c r="I72" s="3">
        <v>279</v>
      </c>
      <c r="J72" s="3"/>
      <c r="L72" s="12" t="s">
        <v>19</v>
      </c>
      <c r="M72" t="s">
        <v>28</v>
      </c>
      <c r="N72" s="3">
        <v>12662.500000000002</v>
      </c>
    </row>
    <row r="73" spans="1:14">
      <c r="G73" s="12" t="s">
        <v>19</v>
      </c>
      <c r="H73" t="s">
        <v>208</v>
      </c>
      <c r="I73" s="3">
        <v>9</v>
      </c>
      <c r="J73" s="3"/>
      <c r="L73" s="12" t="s">
        <v>19</v>
      </c>
      <c r="M73" t="s">
        <v>208</v>
      </c>
      <c r="N73" s="3">
        <v>343.2</v>
      </c>
    </row>
    <row r="74" spans="1:14">
      <c r="G74" s="12" t="s">
        <v>19</v>
      </c>
      <c r="H74" t="s">
        <v>587</v>
      </c>
      <c r="I74" s="3">
        <v>49</v>
      </c>
      <c r="J74" s="3"/>
      <c r="L74" s="12" t="s">
        <v>19</v>
      </c>
      <c r="M74" t="s">
        <v>587</v>
      </c>
      <c r="N74" s="3">
        <v>2188.2999999999997</v>
      </c>
    </row>
    <row r="75" spans="1:14">
      <c r="G75" s="12" t="s">
        <v>19</v>
      </c>
      <c r="H75" t="s">
        <v>331</v>
      </c>
      <c r="I75" s="3">
        <v>59</v>
      </c>
      <c r="J75" s="3"/>
      <c r="L75" s="12" t="s">
        <v>19</v>
      </c>
      <c r="M75" t="s">
        <v>331</v>
      </c>
      <c r="N75" s="3">
        <v>2661.5999999999995</v>
      </c>
    </row>
    <row r="76" spans="1:14">
      <c r="G76" s="12" t="s">
        <v>19</v>
      </c>
      <c r="H76" t="s">
        <v>86</v>
      </c>
      <c r="I76" s="3">
        <v>8</v>
      </c>
      <c r="J76" s="3"/>
      <c r="L76" s="12" t="s">
        <v>19</v>
      </c>
      <c r="M76" t="s">
        <v>86</v>
      </c>
      <c r="N76" s="3">
        <v>887.5</v>
      </c>
    </row>
    <row r="77" spans="1:14">
      <c r="G77" s="12" t="s">
        <v>19</v>
      </c>
      <c r="H77" t="s">
        <v>147</v>
      </c>
      <c r="I77" s="3">
        <v>222</v>
      </c>
      <c r="J77" s="3"/>
      <c r="L77" s="12" t="s">
        <v>19</v>
      </c>
      <c r="M77" t="s">
        <v>147</v>
      </c>
      <c r="N77" s="3">
        <v>11354.199999999993</v>
      </c>
    </row>
    <row r="78" spans="1:14">
      <c r="G78" s="12" t="s">
        <v>19</v>
      </c>
      <c r="H78" t="s">
        <v>334</v>
      </c>
      <c r="I78" s="3">
        <v>36</v>
      </c>
      <c r="J78" s="3"/>
      <c r="L78" s="12" t="s">
        <v>19</v>
      </c>
      <c r="M78" t="s">
        <v>334</v>
      </c>
      <c r="N78" s="3">
        <v>1558.4</v>
      </c>
    </row>
    <row r="79" spans="1:14">
      <c r="G79" s="12" t="s">
        <v>19</v>
      </c>
      <c r="H79" t="s">
        <v>949</v>
      </c>
      <c r="I79" s="3">
        <v>30</v>
      </c>
      <c r="J79" s="3"/>
      <c r="L79" s="12" t="s">
        <v>19</v>
      </c>
      <c r="M79" t="s">
        <v>949</v>
      </c>
      <c r="N79" s="3">
        <v>2223.9</v>
      </c>
    </row>
    <row r="80" spans="1:14">
      <c r="G80" s="12" t="s">
        <v>19</v>
      </c>
      <c r="H80" t="s">
        <v>1426</v>
      </c>
      <c r="I80" s="3">
        <v>1</v>
      </c>
      <c r="J80" s="3"/>
      <c r="L80" s="12" t="s">
        <v>19</v>
      </c>
      <c r="M80" t="s">
        <v>1426</v>
      </c>
      <c r="N80" s="3">
        <v>26.2</v>
      </c>
    </row>
    <row r="81" spans="7:14">
      <c r="G81" s="12" t="s">
        <v>19</v>
      </c>
      <c r="H81" t="s">
        <v>33</v>
      </c>
      <c r="I81" s="3">
        <v>3991</v>
      </c>
      <c r="J81" s="3"/>
      <c r="L81" s="12" t="s">
        <v>19</v>
      </c>
      <c r="M81" t="s">
        <v>33</v>
      </c>
      <c r="N81" s="3">
        <v>215551.19999999981</v>
      </c>
    </row>
    <row r="82" spans="7:14">
      <c r="G82" s="12" t="s">
        <v>19</v>
      </c>
      <c r="H82" t="s">
        <v>364</v>
      </c>
      <c r="I82" s="3">
        <v>45</v>
      </c>
      <c r="J82" s="3"/>
      <c r="L82" s="12" t="s">
        <v>19</v>
      </c>
      <c r="M82" t="s">
        <v>364</v>
      </c>
      <c r="N82" s="3">
        <v>2687.3999999999996</v>
      </c>
    </row>
    <row r="83" spans="7:14">
      <c r="G83" s="12" t="s">
        <v>19</v>
      </c>
      <c r="H83" t="s">
        <v>545</v>
      </c>
      <c r="I83" s="3">
        <v>39</v>
      </c>
      <c r="J83" s="3"/>
      <c r="L83" s="12" t="s">
        <v>19</v>
      </c>
      <c r="M83" t="s">
        <v>545</v>
      </c>
      <c r="N83" s="3">
        <v>1463.3000000000002</v>
      </c>
    </row>
    <row r="84" spans="7:14">
      <c r="G84" s="12" t="s">
        <v>19</v>
      </c>
      <c r="H84" t="s">
        <v>416</v>
      </c>
      <c r="I84" s="3">
        <v>6</v>
      </c>
      <c r="J84" s="3"/>
      <c r="L84" s="12" t="s">
        <v>19</v>
      </c>
      <c r="M84" t="s">
        <v>416</v>
      </c>
      <c r="N84" s="3">
        <v>445.79999999999995</v>
      </c>
    </row>
    <row r="85" spans="7:14">
      <c r="G85" s="12" t="s">
        <v>19</v>
      </c>
      <c r="H85" t="s">
        <v>258</v>
      </c>
      <c r="I85" s="3">
        <v>9</v>
      </c>
      <c r="J85" s="3"/>
      <c r="L85" s="12" t="s">
        <v>19</v>
      </c>
      <c r="M85" t="s">
        <v>258</v>
      </c>
      <c r="N85" s="3">
        <v>273.59999999999997</v>
      </c>
    </row>
    <row r="86" spans="7:14">
      <c r="G86" s="12" t="s">
        <v>19</v>
      </c>
      <c r="H86" t="s">
        <v>186</v>
      </c>
      <c r="I86" s="3">
        <v>60</v>
      </c>
      <c r="J86" s="3"/>
      <c r="L86" s="12" t="s">
        <v>19</v>
      </c>
      <c r="M86" t="s">
        <v>186</v>
      </c>
      <c r="N86" s="3">
        <v>2690.4</v>
      </c>
    </row>
    <row r="87" spans="7:14">
      <c r="G87" s="12" t="s">
        <v>19</v>
      </c>
      <c r="H87" t="s">
        <v>392</v>
      </c>
      <c r="I87" s="3">
        <v>2</v>
      </c>
      <c r="J87" s="3"/>
      <c r="L87" s="12" t="s">
        <v>19</v>
      </c>
      <c r="M87" t="s">
        <v>392</v>
      </c>
      <c r="N87" s="3">
        <v>28.4</v>
      </c>
    </row>
    <row r="88" spans="7:14">
      <c r="G88" s="12" t="s">
        <v>19</v>
      </c>
      <c r="H88" t="s">
        <v>670</v>
      </c>
      <c r="I88" s="3">
        <v>4</v>
      </c>
      <c r="J88" s="3"/>
      <c r="L88" s="12" t="s">
        <v>19</v>
      </c>
      <c r="M88" t="s">
        <v>670</v>
      </c>
      <c r="N88" s="3">
        <v>204.8</v>
      </c>
    </row>
    <row r="89" spans="7:14">
      <c r="G89" s="12" t="s">
        <v>19</v>
      </c>
      <c r="H89" t="s">
        <v>802</v>
      </c>
      <c r="I89" s="3">
        <v>31</v>
      </c>
      <c r="J89" s="3"/>
      <c r="L89" s="12" t="s">
        <v>19</v>
      </c>
      <c r="M89" t="s">
        <v>802</v>
      </c>
      <c r="N89" s="3">
        <v>1607.8999999999999</v>
      </c>
    </row>
    <row r="90" spans="7:14">
      <c r="G90" s="12" t="s">
        <v>19</v>
      </c>
      <c r="H90" t="s">
        <v>98</v>
      </c>
      <c r="I90" s="3">
        <v>88</v>
      </c>
      <c r="J90" s="3"/>
      <c r="L90" s="12" t="s">
        <v>19</v>
      </c>
      <c r="M90" t="s">
        <v>98</v>
      </c>
      <c r="N90" s="3">
        <v>6444.9</v>
      </c>
    </row>
    <row r="91" spans="7:14">
      <c r="G91" s="12" t="s">
        <v>19</v>
      </c>
      <c r="H91" t="s">
        <v>49</v>
      </c>
      <c r="I91" s="3">
        <v>25</v>
      </c>
      <c r="J91" s="3"/>
      <c r="L91" s="12" t="s">
        <v>19</v>
      </c>
      <c r="M91" t="s">
        <v>49</v>
      </c>
      <c r="N91" s="3">
        <v>1809.3</v>
      </c>
    </row>
    <row r="92" spans="7:14">
      <c r="G92" s="12" t="s">
        <v>19</v>
      </c>
      <c r="H92" t="s">
        <v>188</v>
      </c>
      <c r="I92" s="3">
        <v>178</v>
      </c>
      <c r="J92" s="3"/>
      <c r="L92" s="12" t="s">
        <v>19</v>
      </c>
      <c r="M92" t="s">
        <v>188</v>
      </c>
      <c r="N92" s="3">
        <v>9680.399999999996</v>
      </c>
    </row>
    <row r="93" spans="7:14">
      <c r="G93" s="12" t="s">
        <v>19</v>
      </c>
      <c r="H93" t="s">
        <v>52</v>
      </c>
      <c r="I93" s="3">
        <v>141</v>
      </c>
      <c r="J93" s="3"/>
      <c r="L93" s="12" t="s">
        <v>19</v>
      </c>
      <c r="M93" t="s">
        <v>52</v>
      </c>
      <c r="N93" s="3">
        <v>9414.7999999999993</v>
      </c>
    </row>
    <row r="94" spans="7:14">
      <c r="G94" s="12" t="s">
        <v>19</v>
      </c>
      <c r="H94" t="s">
        <v>338</v>
      </c>
      <c r="I94" s="3">
        <v>6</v>
      </c>
      <c r="J94" s="3"/>
      <c r="L94" s="12" t="s">
        <v>19</v>
      </c>
      <c r="M94" t="s">
        <v>338</v>
      </c>
      <c r="N94" s="3">
        <v>206.1</v>
      </c>
    </row>
    <row r="95" spans="7:14">
      <c r="G95" s="12" t="s">
        <v>19</v>
      </c>
      <c r="H95" t="s">
        <v>158</v>
      </c>
      <c r="I95" s="3">
        <v>178</v>
      </c>
      <c r="J95" s="3"/>
      <c r="L95" s="12" t="s">
        <v>19</v>
      </c>
      <c r="M95" t="s">
        <v>158</v>
      </c>
      <c r="N95" s="3">
        <v>7691.3</v>
      </c>
    </row>
    <row r="96" spans="7:14">
      <c r="G96" s="12" t="s">
        <v>19</v>
      </c>
      <c r="H96" t="s">
        <v>55</v>
      </c>
      <c r="I96" s="3">
        <v>699</v>
      </c>
      <c r="J96" s="3"/>
      <c r="L96" s="12" t="s">
        <v>19</v>
      </c>
      <c r="M96" t="s">
        <v>55</v>
      </c>
      <c r="N96" s="3">
        <v>37784.900000000016</v>
      </c>
    </row>
    <row r="97" spans="7:14">
      <c r="G97" s="12" t="s">
        <v>19</v>
      </c>
      <c r="H97" t="s">
        <v>342</v>
      </c>
      <c r="I97" s="3">
        <v>23</v>
      </c>
      <c r="J97" s="3"/>
      <c r="L97" s="12" t="s">
        <v>19</v>
      </c>
      <c r="M97" t="s">
        <v>342</v>
      </c>
      <c r="N97" s="3">
        <v>1129.7</v>
      </c>
    </row>
    <row r="98" spans="7:14">
      <c r="G98" s="12" t="s">
        <v>19</v>
      </c>
      <c r="H98" t="s">
        <v>59</v>
      </c>
      <c r="I98" s="3">
        <v>356</v>
      </c>
      <c r="J98" s="3"/>
      <c r="L98" s="12" t="s">
        <v>19</v>
      </c>
      <c r="M98" t="s">
        <v>59</v>
      </c>
      <c r="N98" s="3">
        <v>20988.9</v>
      </c>
    </row>
    <row r="99" spans="7:14">
      <c r="G99" s="12" t="s">
        <v>19</v>
      </c>
      <c r="H99" t="s">
        <v>62</v>
      </c>
      <c r="I99" s="3">
        <v>1768</v>
      </c>
      <c r="J99" s="3"/>
      <c r="L99" s="12" t="s">
        <v>19</v>
      </c>
      <c r="M99" t="s">
        <v>62</v>
      </c>
      <c r="N99" s="3">
        <v>98367.099999999977</v>
      </c>
    </row>
    <row r="100" spans="7:14">
      <c r="G100" s="12" t="s">
        <v>19</v>
      </c>
      <c r="H100" t="s">
        <v>103</v>
      </c>
      <c r="I100" s="3">
        <v>307</v>
      </c>
      <c r="J100" s="3"/>
      <c r="L100" s="12" t="s">
        <v>19</v>
      </c>
      <c r="M100" t="s">
        <v>103</v>
      </c>
      <c r="N100" s="3">
        <v>21911.9</v>
      </c>
    </row>
    <row r="101" spans="7:14">
      <c r="G101" s="12" t="s">
        <v>19</v>
      </c>
      <c r="H101" t="s">
        <v>201</v>
      </c>
      <c r="I101" s="3">
        <v>117</v>
      </c>
      <c r="J101" s="3"/>
      <c r="L101" s="12" t="s">
        <v>19</v>
      </c>
      <c r="M101" t="s">
        <v>201</v>
      </c>
      <c r="N101" s="3">
        <v>5441.2</v>
      </c>
    </row>
    <row r="102" spans="7:14">
      <c r="G102" s="12" t="s">
        <v>19</v>
      </c>
      <c r="H102" t="s">
        <v>429</v>
      </c>
      <c r="I102" s="3">
        <v>13</v>
      </c>
      <c r="J102" s="3"/>
      <c r="L102" s="12" t="s">
        <v>19</v>
      </c>
      <c r="M102" t="s">
        <v>429</v>
      </c>
      <c r="N102" s="3">
        <v>392.8</v>
      </c>
    </row>
    <row r="103" spans="7:14">
      <c r="G103" s="12" t="s">
        <v>19</v>
      </c>
      <c r="H103" t="s">
        <v>72</v>
      </c>
      <c r="I103" s="3">
        <v>364</v>
      </c>
      <c r="J103" s="3"/>
      <c r="L103" s="12" t="s">
        <v>19</v>
      </c>
      <c r="M103" t="s">
        <v>72</v>
      </c>
      <c r="N103" s="3">
        <v>16172.000000000005</v>
      </c>
    </row>
    <row r="104" spans="7:14">
      <c r="G104" s="12" t="s">
        <v>19</v>
      </c>
      <c r="H104" t="s">
        <v>74</v>
      </c>
      <c r="I104" s="3">
        <v>95</v>
      </c>
      <c r="J104" s="3"/>
      <c r="L104" s="12" t="s">
        <v>19</v>
      </c>
      <c r="M104" t="s">
        <v>74</v>
      </c>
      <c r="N104" s="3">
        <v>4334.9999999999991</v>
      </c>
    </row>
    <row r="105" spans="7:14">
      <c r="G105" s="12" t="s">
        <v>19</v>
      </c>
      <c r="H105" t="s">
        <v>77</v>
      </c>
      <c r="I105" s="3">
        <v>737</v>
      </c>
      <c r="J105" s="3"/>
      <c r="L105" s="12" t="s">
        <v>19</v>
      </c>
      <c r="M105" t="s">
        <v>77</v>
      </c>
      <c r="N105" s="3">
        <v>37449.000000000007</v>
      </c>
    </row>
    <row r="106" spans="7:14">
      <c r="G106" s="12" t="s">
        <v>19</v>
      </c>
      <c r="H106" t="s">
        <v>309</v>
      </c>
      <c r="I106" s="3">
        <v>39</v>
      </c>
      <c r="J106" s="3"/>
      <c r="L106" s="12" t="s">
        <v>19</v>
      </c>
      <c r="M106" t="s">
        <v>309</v>
      </c>
      <c r="N106" s="3">
        <v>2447.5</v>
      </c>
    </row>
    <row r="107" spans="7:14">
      <c r="G107" s="12" t="s">
        <v>19</v>
      </c>
      <c r="H107" t="s">
        <v>1116</v>
      </c>
      <c r="I107" s="3">
        <v>56</v>
      </c>
      <c r="J107" s="3"/>
      <c r="L107" s="12" t="s">
        <v>19</v>
      </c>
      <c r="M107" t="s">
        <v>1116</v>
      </c>
      <c r="N107" s="3">
        <v>3391.1</v>
      </c>
    </row>
    <row r="108" spans="7:14">
      <c r="G108" s="12" t="s">
        <v>19</v>
      </c>
      <c r="H108" t="s">
        <v>700</v>
      </c>
      <c r="I108" s="3">
        <v>2</v>
      </c>
      <c r="J108" s="3"/>
      <c r="L108" s="12" t="s">
        <v>19</v>
      </c>
      <c r="M108" t="s">
        <v>700</v>
      </c>
      <c r="N108" s="3">
        <v>30.8</v>
      </c>
    </row>
    <row r="109" spans="7:14">
      <c r="G109" s="12" t="s">
        <v>19</v>
      </c>
      <c r="H109" t="s">
        <v>268</v>
      </c>
      <c r="I109" s="3">
        <v>8</v>
      </c>
      <c r="J109" s="3"/>
      <c r="L109" s="12" t="s">
        <v>19</v>
      </c>
      <c r="M109" t="s">
        <v>268</v>
      </c>
      <c r="N109" s="3">
        <v>332.3</v>
      </c>
    </row>
    <row r="110" spans="7:14">
      <c r="G110" s="12" t="s">
        <v>19</v>
      </c>
      <c r="H110" t="s">
        <v>377</v>
      </c>
      <c r="I110" s="3">
        <v>52</v>
      </c>
      <c r="J110" s="3"/>
      <c r="L110" s="12" t="s">
        <v>19</v>
      </c>
      <c r="M110" t="s">
        <v>377</v>
      </c>
      <c r="N110" s="3">
        <v>3175.9999999999995</v>
      </c>
    </row>
    <row r="111" spans="7:14">
      <c r="G111" s="12" t="s">
        <v>19</v>
      </c>
      <c r="H111" t="s">
        <v>108</v>
      </c>
      <c r="I111" s="3">
        <v>295</v>
      </c>
      <c r="J111" s="3"/>
      <c r="L111" s="12" t="s">
        <v>19</v>
      </c>
      <c r="M111" t="s">
        <v>108</v>
      </c>
      <c r="N111" s="3">
        <v>20939.600000000002</v>
      </c>
    </row>
    <row r="112" spans="7:14">
      <c r="G112" s="12" t="s">
        <v>19</v>
      </c>
      <c r="H112" t="s">
        <v>110</v>
      </c>
      <c r="I112" s="3">
        <v>195</v>
      </c>
      <c r="J112" s="3"/>
      <c r="L112" s="12" t="s">
        <v>19</v>
      </c>
      <c r="M112" t="s">
        <v>110</v>
      </c>
      <c r="N112" s="3">
        <v>10185.899999999996</v>
      </c>
    </row>
    <row r="113" spans="7:14">
      <c r="G113" s="12" t="s">
        <v>19</v>
      </c>
      <c r="H113" t="s">
        <v>292</v>
      </c>
      <c r="I113" s="3">
        <v>20</v>
      </c>
      <c r="J113" s="3"/>
      <c r="L113" s="12" t="s">
        <v>19</v>
      </c>
      <c r="M113" t="s">
        <v>292</v>
      </c>
      <c r="N113" s="3">
        <v>958.7</v>
      </c>
    </row>
    <row r="114" spans="7:14">
      <c r="G114" s="12" t="s">
        <v>19</v>
      </c>
      <c r="H114" t="s">
        <v>79</v>
      </c>
      <c r="I114" s="3">
        <v>6</v>
      </c>
      <c r="J114" s="3"/>
      <c r="L114" s="12" t="s">
        <v>19</v>
      </c>
      <c r="M114" t="s">
        <v>79</v>
      </c>
      <c r="N114" s="3">
        <v>323</v>
      </c>
    </row>
    <row r="115" spans="7:14">
      <c r="G115" s="12" t="s">
        <v>19</v>
      </c>
      <c r="H115" t="s">
        <v>608</v>
      </c>
      <c r="I115" s="3">
        <v>5</v>
      </c>
      <c r="J115" s="3"/>
      <c r="L115" s="12" t="s">
        <v>19</v>
      </c>
      <c r="M115" t="s">
        <v>608</v>
      </c>
      <c r="N115" s="3">
        <v>167.70000000000002</v>
      </c>
    </row>
    <row r="116" spans="7:14">
      <c r="G116" s="12" t="s">
        <v>19</v>
      </c>
      <c r="H116" t="s">
        <v>113</v>
      </c>
      <c r="I116" s="3">
        <v>94</v>
      </c>
      <c r="J116" s="3"/>
      <c r="L116" s="12" t="s">
        <v>19</v>
      </c>
      <c r="M116" t="s">
        <v>113</v>
      </c>
      <c r="N116" s="3">
        <v>3978.5</v>
      </c>
    </row>
    <row r="117" spans="7:14">
      <c r="G117" s="12" t="s">
        <v>19</v>
      </c>
      <c r="H117" t="s">
        <v>997</v>
      </c>
      <c r="I117" s="3">
        <v>28</v>
      </c>
      <c r="J117" s="3"/>
      <c r="L117" s="12" t="s">
        <v>19</v>
      </c>
      <c r="M117" t="s">
        <v>997</v>
      </c>
      <c r="N117" s="3">
        <v>1405</v>
      </c>
    </row>
    <row r="118" spans="7:14">
      <c r="G118" s="12" t="s">
        <v>19</v>
      </c>
      <c r="H118" t="s">
        <v>82</v>
      </c>
      <c r="I118" s="3">
        <v>179</v>
      </c>
      <c r="J118" s="3"/>
      <c r="L118" s="12" t="s">
        <v>19</v>
      </c>
      <c r="M118" t="s">
        <v>82</v>
      </c>
      <c r="N118" s="3">
        <v>9869.0999999999985</v>
      </c>
    </row>
    <row r="119" spans="7:14">
      <c r="G119" s="12" t="s">
        <v>19</v>
      </c>
      <c r="H119" t="s">
        <v>243</v>
      </c>
      <c r="I119" s="3">
        <v>15</v>
      </c>
      <c r="J119" s="3"/>
      <c r="L119" s="12" t="s">
        <v>19</v>
      </c>
      <c r="M119" t="s">
        <v>243</v>
      </c>
      <c r="N119" s="3">
        <v>615.29999999999995</v>
      </c>
    </row>
    <row r="120" spans="7:14">
      <c r="G120" s="13" t="s">
        <v>19</v>
      </c>
      <c r="H120" t="s">
        <v>1911</v>
      </c>
      <c r="I120" s="3">
        <v>3</v>
      </c>
      <c r="J120" s="3"/>
      <c r="L120" s="13" t="s">
        <v>19</v>
      </c>
      <c r="M120" t="s">
        <v>1911</v>
      </c>
      <c r="N120" s="3">
        <v>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E554-1580-4B48-8E86-40FF6C260408}">
  <dimension ref="A3:M10"/>
  <sheetViews>
    <sheetView workbookViewId="0">
      <selection activeCell="C46" sqref="C46"/>
    </sheetView>
  </sheetViews>
  <sheetFormatPr defaultRowHeight="14.4"/>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9" max="9" width="10.33203125" customWidth="1"/>
    <col min="10" max="12" width="8.21875" customWidth="1"/>
    <col min="13" max="13" width="8.33203125" customWidth="1"/>
  </cols>
  <sheetData>
    <row r="3" spans="1:13" ht="22.8" customHeight="1">
      <c r="A3" s="5" t="s">
        <v>2506</v>
      </c>
      <c r="B3" s="5" t="s">
        <v>2515</v>
      </c>
      <c r="I3" t="s">
        <v>2520</v>
      </c>
    </row>
    <row r="4" spans="1:13" ht="18" customHeight="1" thickBot="1">
      <c r="A4" s="5" t="s">
        <v>2513</v>
      </c>
      <c r="B4" t="s">
        <v>2516</v>
      </c>
      <c r="C4" t="s">
        <v>2517</v>
      </c>
      <c r="D4" t="s">
        <v>2518</v>
      </c>
      <c r="E4" t="s">
        <v>2519</v>
      </c>
      <c r="F4" t="s">
        <v>2514</v>
      </c>
      <c r="I4" s="10"/>
      <c r="J4" s="9" t="s">
        <v>2516</v>
      </c>
      <c r="K4" s="9" t="str">
        <f t="shared" ref="K4:M5" si="0">C4</f>
        <v>Male</v>
      </c>
      <c r="L4" s="9" t="str">
        <f t="shared" si="0"/>
        <v>Other</v>
      </c>
      <c r="M4" s="9" t="str">
        <f t="shared" si="0"/>
        <v>Unknown</v>
      </c>
    </row>
    <row r="5" spans="1:13" ht="18" customHeight="1" thickTop="1" thickBot="1">
      <c r="A5" s="6" t="s">
        <v>18</v>
      </c>
      <c r="B5" s="8">
        <v>0.18961825201634841</v>
      </c>
      <c r="C5" s="8">
        <v>0.12262322351336576</v>
      </c>
      <c r="D5" s="8">
        <v>1.060537752469185E-2</v>
      </c>
      <c r="E5" s="8">
        <v>3.0599220547662797E-2</v>
      </c>
      <c r="F5" s="8">
        <v>0.35344607360206881</v>
      </c>
      <c r="I5" s="10" t="str">
        <f>A5</f>
        <v>App</v>
      </c>
      <c r="J5" s="11">
        <f>B5</f>
        <v>0.18961825201634841</v>
      </c>
      <c r="K5" s="11">
        <f t="shared" si="0"/>
        <v>0.12262322351336576</v>
      </c>
      <c r="L5" s="11">
        <f t="shared" si="0"/>
        <v>1.060537752469185E-2</v>
      </c>
      <c r="M5" s="11">
        <f t="shared" si="0"/>
        <v>3.0599220547662797E-2</v>
      </c>
    </row>
    <row r="6" spans="1:13" ht="18" customHeight="1" thickTop="1" thickBot="1">
      <c r="A6" s="6" t="s">
        <v>51</v>
      </c>
      <c r="B6" s="8">
        <v>5.0283982091147303E-2</v>
      </c>
      <c r="C6" s="8">
        <v>4.3060781812819873E-2</v>
      </c>
      <c r="D6" s="8">
        <v>1.5320025675641944E-3</v>
      </c>
      <c r="E6" s="8">
        <v>1.7794988689097006E-2</v>
      </c>
      <c r="F6" s="8">
        <v>0.11267175516062837</v>
      </c>
      <c r="I6" s="10" t="str">
        <f t="shared" ref="I6:I10" si="1">A6</f>
        <v>Instagram</v>
      </c>
      <c r="J6" s="11">
        <f t="shared" ref="J5:M9" si="2">B6</f>
        <v>5.0283982091147303E-2</v>
      </c>
      <c r="K6" s="11">
        <f t="shared" si="2"/>
        <v>4.3060781812819873E-2</v>
      </c>
      <c r="L6" s="11">
        <f t="shared" si="2"/>
        <v>1.5320025675641944E-3</v>
      </c>
      <c r="M6" s="11">
        <f t="shared" si="2"/>
        <v>1.7794988689097006E-2</v>
      </c>
    </row>
    <row r="7" spans="1:13" ht="18" customHeight="1" thickTop="1" thickBot="1">
      <c r="A7" s="6" t="s">
        <v>70</v>
      </c>
      <c r="B7" s="8">
        <v>6.3496059750411282E-2</v>
      </c>
      <c r="C7" s="8">
        <v>4.6071629863988765E-2</v>
      </c>
      <c r="D7" s="8">
        <v>2.306247051322625E-3</v>
      </c>
      <c r="E7" s="8">
        <v>3.8927934093844286E-3</v>
      </c>
      <c r="F7" s="8">
        <v>0.11576673007510711</v>
      </c>
      <c r="I7" s="10" t="str">
        <f t="shared" si="1"/>
        <v>Partner App</v>
      </c>
      <c r="J7" s="11">
        <f t="shared" si="2"/>
        <v>6.3496059750411282E-2</v>
      </c>
      <c r="K7" s="11">
        <f t="shared" si="2"/>
        <v>4.6071629863988765E-2</v>
      </c>
      <c r="L7" s="11">
        <f t="shared" si="2"/>
        <v>2.306247051322625E-3</v>
      </c>
      <c r="M7" s="11">
        <f t="shared" si="2"/>
        <v>3.8927934093844286E-3</v>
      </c>
    </row>
    <row r="8" spans="1:13" ht="18" customHeight="1" thickTop="1" thickBot="1">
      <c r="A8" s="6" t="s">
        <v>40</v>
      </c>
      <c r="B8" s="8">
        <v>9.6337892927149532E-2</v>
      </c>
      <c r="C8" s="8">
        <v>6.7920115842382611E-2</v>
      </c>
      <c r="D8" s="8">
        <v>5.4979832664581261E-3</v>
      </c>
      <c r="E8" s="8">
        <v>1.2933041488102518E-2</v>
      </c>
      <c r="F8" s="8">
        <v>0.1826890335240928</v>
      </c>
      <c r="I8" s="10" t="str">
        <f t="shared" si="1"/>
        <v>Target.com</v>
      </c>
      <c r="J8" s="11">
        <f t="shared" si="2"/>
        <v>9.6337892927149532E-2</v>
      </c>
      <c r="K8" s="11">
        <f t="shared" si="2"/>
        <v>6.7920115842382611E-2</v>
      </c>
      <c r="L8" s="11">
        <f t="shared" si="2"/>
        <v>5.4979832664581261E-3</v>
      </c>
      <c r="M8" s="11">
        <f t="shared" si="2"/>
        <v>1.2933041488102518E-2</v>
      </c>
    </row>
    <row r="9" spans="1:13" ht="18" customHeight="1" thickTop="1" thickBot="1">
      <c r="A9" s="6" t="s">
        <v>35</v>
      </c>
      <c r="B9" s="8">
        <v>0.12522098709469262</v>
      </c>
      <c r="C9" s="8">
        <v>9.1492740283116228E-2</v>
      </c>
      <c r="D9" s="8">
        <v>6.3042760790965081E-3</v>
      </c>
      <c r="E9" s="8">
        <v>1.2408404181197551E-2</v>
      </c>
      <c r="F9" s="8">
        <v>0.23542640763810288</v>
      </c>
      <c r="I9" s="10" t="str">
        <f t="shared" si="1"/>
        <v>Website</v>
      </c>
      <c r="J9" s="11">
        <f t="shared" si="2"/>
        <v>0.12522098709469262</v>
      </c>
      <c r="K9" s="11">
        <f t="shared" si="2"/>
        <v>9.1492740283116228E-2</v>
      </c>
      <c r="L9" s="11">
        <f t="shared" si="2"/>
        <v>6.3042760790965081E-3</v>
      </c>
      <c r="M9" s="11">
        <f t="shared" si="2"/>
        <v>1.2408404181197551E-2</v>
      </c>
    </row>
    <row r="10" spans="1:13" ht="15" thickTop="1">
      <c r="A10" s="6" t="s">
        <v>2514</v>
      </c>
      <c r="B10" s="8">
        <v>0.52495717387974916</v>
      </c>
      <c r="C10" s="8">
        <v>0.3711684913156732</v>
      </c>
      <c r="D10" s="8">
        <v>2.6245886489133303E-2</v>
      </c>
      <c r="E10" s="8">
        <v>7.7628448315444312E-2</v>
      </c>
      <c r="F10" s="8">
        <v>1</v>
      </c>
    </row>
  </sheetData>
  <conditionalFormatting sqref="J5:M9">
    <cfRule type="colorScale" priority="1">
      <colorScale>
        <cfvo type="min"/>
        <cfvo type="percentile" val="50"/>
        <cfvo type="max"/>
        <color rgb="FFF8696B"/>
        <color rgb="FFFCFCFF"/>
        <color rgb="FF5A8AC6"/>
      </colorScale>
    </cfRule>
    <cfRule type="colorScale" priority="2">
      <colorScale>
        <cfvo type="min"/>
        <cfvo type="max"/>
        <color rgb="FF63BE7B"/>
        <color rgb="FFFCFC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2B58-4CB2-4578-BDB5-AEFBAE4E7018}">
  <dimension ref="A3:K10"/>
  <sheetViews>
    <sheetView workbookViewId="0">
      <selection activeCell="C46" sqref="C46"/>
    </sheetView>
  </sheetViews>
  <sheetFormatPr defaultRowHeight="14.4"/>
  <cols>
    <col min="1" max="1" width="12.44140625" bestFit="1" customWidth="1"/>
    <col min="2" max="2" width="12.21875" bestFit="1" customWidth="1"/>
    <col min="6" max="6" width="12.44140625" bestFit="1" customWidth="1"/>
    <col min="7" max="7" width="15.5546875" bestFit="1" customWidth="1"/>
    <col min="8" max="10" width="2" bestFit="1" customWidth="1"/>
    <col min="11" max="12" width="10.5546875" bestFit="1" customWidth="1"/>
    <col min="13" max="37" width="9" bestFit="1" customWidth="1"/>
    <col min="38" max="94" width="9.44140625" bestFit="1" customWidth="1"/>
    <col min="95" max="95" width="10.5546875" bestFit="1" customWidth="1"/>
  </cols>
  <sheetData>
    <row r="3" spans="1:11">
      <c r="A3" s="5" t="s">
        <v>2513</v>
      </c>
      <c r="B3" t="s">
        <v>2504</v>
      </c>
    </row>
    <row r="4" spans="1:11">
      <c r="A4" s="6">
        <v>1</v>
      </c>
      <c r="B4" s="3">
        <v>5</v>
      </c>
    </row>
    <row r="5" spans="1:11">
      <c r="A5" s="6">
        <v>2</v>
      </c>
      <c r="B5" s="3">
        <v>4</v>
      </c>
      <c r="F5" s="5" t="s">
        <v>2504</v>
      </c>
      <c r="G5" s="5" t="s">
        <v>2515</v>
      </c>
    </row>
    <row r="6" spans="1:11">
      <c r="A6" s="6">
        <v>3</v>
      </c>
      <c r="B6" s="3">
        <v>1</v>
      </c>
      <c r="F6" s="5" t="s">
        <v>2513</v>
      </c>
      <c r="G6">
        <v>1</v>
      </c>
      <c r="H6">
        <v>2</v>
      </c>
      <c r="I6">
        <v>3</v>
      </c>
      <c r="J6">
        <v>4</v>
      </c>
      <c r="K6" t="s">
        <v>2514</v>
      </c>
    </row>
    <row r="7" spans="1:11">
      <c r="A7" s="6">
        <v>5</v>
      </c>
      <c r="B7" s="3">
        <v>1</v>
      </c>
      <c r="F7" s="6" t="s">
        <v>2523</v>
      </c>
      <c r="G7" s="3">
        <v>1</v>
      </c>
      <c r="H7" s="3">
        <v>1</v>
      </c>
      <c r="I7" s="3">
        <v>2</v>
      </c>
      <c r="J7" s="3">
        <v>1</v>
      </c>
      <c r="K7" s="3">
        <v>5</v>
      </c>
    </row>
    <row r="8" spans="1:11">
      <c r="A8" s="6" t="s">
        <v>2514</v>
      </c>
      <c r="B8" s="3">
        <v>11</v>
      </c>
      <c r="F8" s="6" t="s">
        <v>2524</v>
      </c>
      <c r="G8" s="3"/>
      <c r="H8" s="3"/>
      <c r="I8" s="3">
        <v>1</v>
      </c>
      <c r="J8" s="3">
        <v>2</v>
      </c>
      <c r="K8" s="3">
        <v>3</v>
      </c>
    </row>
    <row r="9" spans="1:11">
      <c r="F9" s="6" t="s">
        <v>2525</v>
      </c>
      <c r="G9" s="3"/>
      <c r="H9" s="3"/>
      <c r="I9" s="3">
        <v>1</v>
      </c>
      <c r="J9" s="3">
        <v>2</v>
      </c>
      <c r="K9" s="3">
        <v>3</v>
      </c>
    </row>
    <row r="10" spans="1:11">
      <c r="F10" s="6" t="s">
        <v>2514</v>
      </c>
      <c r="G10" s="3">
        <v>1</v>
      </c>
      <c r="H10" s="3">
        <v>1</v>
      </c>
      <c r="I10" s="3">
        <v>4</v>
      </c>
      <c r="J10" s="3">
        <v>5</v>
      </c>
      <c r="K10" s="3">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375" workbookViewId="0">
      <selection activeCell="R2391" sqref="R2391"/>
    </sheetView>
  </sheetViews>
  <sheetFormatPr defaultRowHeight="14.4"/>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C1:AC7"/>
  <sheetViews>
    <sheetView tabSelected="1" zoomScale="60" zoomScaleNormal="60" workbookViewId="0">
      <selection activeCell="AI43" sqref="AI43"/>
    </sheetView>
  </sheetViews>
  <sheetFormatPr defaultRowHeight="14.4"/>
  <cols>
    <col min="1" max="1" width="3.33203125" customWidth="1"/>
    <col min="2" max="2" width="22.21875" customWidth="1"/>
    <col min="3" max="4" width="3.33203125" customWidth="1"/>
    <col min="26" max="26" width="3.33203125" customWidth="1"/>
  </cols>
  <sheetData>
    <row r="1" spans="29:29" ht="23.4" customHeight="1"/>
    <row r="7" spans="29:29">
      <c r="AC7"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Anjali Gedam</cp:lastModifiedBy>
  <dcterms:created xsi:type="dcterms:W3CDTF">2025-06-13T02:42:26Z</dcterms:created>
  <dcterms:modified xsi:type="dcterms:W3CDTF">2026-05-03T15:00:18Z</dcterms:modified>
</cp:coreProperties>
</file>